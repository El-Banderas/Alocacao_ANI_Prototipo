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591622A3-27E1-486B-89AF-B132C2505FBC}" xr6:coauthVersionLast="47" xr6:coauthVersionMax="47" xr10:uidLastSave="{00000000-0000-0000-0000-000000000000}"/>
  <bookViews>
    <workbookView xWindow="-120" yWindow="-120" windowWidth="38640" windowHeight="15840" activeTab="2" xr2:uid="{00000000-000D-0000-FFFF-FFFF00000000}"/>
  </bookViews>
  <sheets>
    <sheet name="Compatibilidade" sheetId="5" r:id="rId1"/>
    <sheet name="Tecnico" sheetId="7" r:id="rId2"/>
    <sheet name="Projetos" sheetId="8" r:id="rId3"/>
    <sheet name="Base Dados Esforço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6" l="1"/>
  <c r="Q9" i="6"/>
  <c r="Q10" i="6"/>
  <c r="M8" i="6"/>
  <c r="F2" i="8"/>
  <c r="I21" i="8"/>
  <c r="K21" i="8" s="1" a="1"/>
  <c r="K21" i="8" s="1"/>
  <c r="J3" i="8" a="1"/>
  <c r="J3" i="8" s="1"/>
  <c r="J4" i="8" a="1"/>
  <c r="J4" i="8" s="1"/>
  <c r="J5" i="8" a="1"/>
  <c r="J5" i="8" s="1"/>
  <c r="J6" i="8" a="1"/>
  <c r="J6" i="8" s="1"/>
  <c r="J7" i="8" a="1"/>
  <c r="J7" i="8" s="1"/>
  <c r="J8" i="8" a="1"/>
  <c r="J8" i="8" s="1"/>
  <c r="J9" i="8" a="1"/>
  <c r="J9" i="8" s="1"/>
  <c r="J10" i="8" a="1"/>
  <c r="J10" i="8" s="1"/>
  <c r="J11" i="8" a="1"/>
  <c r="J11" i="8" s="1"/>
  <c r="J12" i="8" a="1"/>
  <c r="J12" i="8" s="1"/>
  <c r="J13" i="8" a="1"/>
  <c r="J13" i="8" s="1"/>
  <c r="J14" i="8" a="1"/>
  <c r="J14" i="8" s="1"/>
  <c r="J15" i="8" a="1"/>
  <c r="J15" i="8" s="1"/>
  <c r="J16" i="8" a="1"/>
  <c r="J16" i="8" s="1"/>
  <c r="J17" i="8" a="1"/>
  <c r="J17" i="8" s="1"/>
  <c r="J18" i="8" a="1"/>
  <c r="J18" i="8" s="1"/>
  <c r="J19" i="8" a="1"/>
  <c r="J19" i="8" s="1"/>
  <c r="J20" i="8" a="1"/>
  <c r="J20" i="8" s="1"/>
  <c r="J21" i="8" a="1"/>
  <c r="J21" i="8" s="1"/>
  <c r="J2" i="8" a="1"/>
  <c r="J2" i="8" s="1"/>
  <c r="I3" i="8"/>
  <c r="K3" i="8" s="1" a="1"/>
  <c r="K3" i="8" s="1"/>
  <c r="I4" i="8"/>
  <c r="K4" i="8" s="1" a="1"/>
  <c r="K4" i="8" s="1"/>
  <c r="I5" i="8"/>
  <c r="K5" i="8" s="1" a="1"/>
  <c r="K5" i="8" s="1"/>
  <c r="I6" i="8"/>
  <c r="K6" i="8" s="1" a="1"/>
  <c r="K6" i="8" s="1"/>
  <c r="I7" i="8"/>
  <c r="K7" i="8" s="1" a="1"/>
  <c r="K7" i="8" s="1"/>
  <c r="I8" i="8"/>
  <c r="K8" i="8" s="1" a="1"/>
  <c r="K8" i="8" s="1"/>
  <c r="I9" i="8"/>
  <c r="K9" i="8" s="1" a="1"/>
  <c r="K9" i="8" s="1"/>
  <c r="I10" i="8"/>
  <c r="K10" i="8" s="1" a="1"/>
  <c r="K10" i="8" s="1"/>
  <c r="I11" i="8"/>
  <c r="K11" i="8" s="1" a="1"/>
  <c r="K11" i="8" s="1"/>
  <c r="I12" i="8"/>
  <c r="K12" i="8" s="1" a="1"/>
  <c r="K12" i="8" s="1"/>
  <c r="I13" i="8"/>
  <c r="K13" i="8" s="1" a="1"/>
  <c r="K13" i="8" s="1"/>
  <c r="I14" i="8"/>
  <c r="K14" i="8" s="1" a="1"/>
  <c r="K14" i="8" s="1"/>
  <c r="I15" i="8"/>
  <c r="K15" i="8" s="1" a="1"/>
  <c r="K15" i="8" s="1"/>
  <c r="I16" i="8"/>
  <c r="K16" i="8" s="1" a="1"/>
  <c r="K16" i="8" s="1"/>
  <c r="I17" i="8"/>
  <c r="K17" i="8" s="1" a="1"/>
  <c r="K17" i="8" s="1"/>
  <c r="I18" i="8"/>
  <c r="K18" i="8" s="1" a="1"/>
  <c r="K18" i="8" s="1"/>
  <c r="I19" i="8"/>
  <c r="K19" i="8" s="1" a="1"/>
  <c r="K19" i="8" s="1"/>
  <c r="I20" i="8"/>
  <c r="K20" i="8" s="1" a="1"/>
  <c r="K20" i="8" s="1"/>
  <c r="I2" i="8"/>
  <c r="K2" i="8" s="1" a="1"/>
  <c r="K2" i="8" s="1"/>
  <c r="N1" i="8" a="1"/>
  <c r="N1" i="8" s="1"/>
  <c r="C5" i="5" s="1"/>
  <c r="B3" i="7"/>
  <c r="B4" i="7"/>
  <c r="B5" i="7"/>
  <c r="B6" i="7"/>
  <c r="B7" i="7"/>
  <c r="B8" i="7"/>
  <c r="B9" i="7"/>
  <c r="B10" i="7"/>
  <c r="B2" i="7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O9" i="6"/>
  <c r="O10" i="6"/>
  <c r="N9" i="6"/>
  <c r="N10" i="6"/>
  <c r="M9" i="6"/>
  <c r="M10" i="6"/>
  <c r="O8" i="6"/>
  <c r="Q8" i="6" s="1"/>
  <c r="B7" i="5"/>
  <c r="B8" i="5"/>
  <c r="B9" i="5"/>
  <c r="B10" i="5"/>
  <c r="B11" i="5"/>
  <c r="B12" i="5"/>
  <c r="B13" i="5"/>
  <c r="B14" i="5"/>
  <c r="B6" i="5"/>
  <c r="G7" i="7" l="1"/>
  <c r="G8" i="7"/>
  <c r="G4" i="7"/>
  <c r="G10" i="7"/>
  <c r="G9" i="7"/>
  <c r="G6" i="7"/>
  <c r="G5" i="7"/>
  <c r="G3" i="7"/>
  <c r="G2" i="7"/>
  <c r="N5" i="5"/>
  <c r="M5" i="5"/>
  <c r="L5" i="5"/>
  <c r="K5" i="5"/>
  <c r="V5" i="5"/>
  <c r="J5" i="5"/>
  <c r="U5" i="5"/>
  <c r="I5" i="5"/>
  <c r="T5" i="5"/>
  <c r="H5" i="5"/>
  <c r="S5" i="5"/>
  <c r="G5" i="5"/>
  <c r="R5" i="5"/>
  <c r="F5" i="5"/>
  <c r="O5" i="5"/>
  <c r="Q5" i="5"/>
  <c r="E5" i="5"/>
  <c r="P5" i="5"/>
  <c r="D5" i="5"/>
  <c r="H16" i="8"/>
  <c r="H11" i="8"/>
  <c r="H12" i="8"/>
  <c r="H3" i="8"/>
  <c r="H21" i="8"/>
  <c r="H9" i="8"/>
  <c r="H20" i="8"/>
  <c r="H8" i="8"/>
  <c r="H19" i="8"/>
  <c r="H7" i="8"/>
  <c r="H15" i="8"/>
  <c r="H18" i="8"/>
  <c r="H17" i="8"/>
  <c r="H5" i="8"/>
  <c r="H4" i="8"/>
  <c r="H6" i="8"/>
  <c r="H14" i="8"/>
  <c r="H2" i="8"/>
  <c r="H10" i="8"/>
  <c r="H13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<sst xmlns="http://schemas.openxmlformats.org/spreadsheetml/2006/main" count="223" uniqueCount="145">
  <si>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</si>
  <si>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</si>
  <si>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</si>
  <si>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</si>
  <si>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</si>
  <si>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</si>
  <si>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</si>
  <si>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</si>
  <si>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</si>
  <si>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</si>
  <si>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</si>
  <si>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</si>
  <si>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</si>
  <si>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</si>
  <si>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Área temática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</si>
  <si>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</si>
  <si>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</si>
  <si>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</si>
  <si>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</si>
  <si>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</si>
  <si>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Muito baixa</t>
  </si>
  <si>
    <t>Alta</t>
  </si>
  <si>
    <t>Muito alta</t>
  </si>
  <si>
    <t>(1..10)</t>
  </si>
  <si>
    <t>Analise de Candidaturas</t>
  </si>
  <si>
    <t>I-Al</t>
  </si>
  <si>
    <t>Al-A2</t>
  </si>
  <si>
    <t>Analise de Admissibilidade</t>
  </si>
  <si>
    <t>Individual</t>
  </si>
  <si>
    <t>Mobilizador</t>
  </si>
  <si>
    <t>A2-B1</t>
  </si>
  <si>
    <t>B1-B2</t>
  </si>
  <si>
    <t>B2-B3</t>
  </si>
  <si>
    <t>Pagamento ao Perito</t>
  </si>
  <si>
    <t>A2-A3 B2-A3</t>
  </si>
  <si>
    <t>A3-A4</t>
  </si>
  <si>
    <t>A5-A6</t>
  </si>
  <si>
    <t>Acompanhamento</t>
  </si>
  <si>
    <t>Xl-C2
Cl-C2</t>
  </si>
  <si>
    <t>C2-C3</t>
  </si>
  <si>
    <t>C2-C4</t>
  </si>
  <si>
    <t>C4-C2</t>
  </si>
  <si>
    <t>Novo Pedido de Pagamento</t>
  </si>
  <si>
    <t>Visita</t>
  </si>
  <si>
    <t>Atividade</t>
  </si>
  <si>
    <t>Moda</t>
  </si>
  <si>
    <t>Otimista</t>
  </si>
  <si>
    <t>Realista</t>
  </si>
  <si>
    <t>Pessimista</t>
  </si>
  <si>
    <t>D1-D2</t>
  </si>
  <si>
    <t>Online</t>
  </si>
  <si>
    <t>Presencial</t>
  </si>
  <si>
    <t>D1-D3</t>
  </si>
  <si>
    <t>Visita de Auditoria Financeira</t>
  </si>
  <si>
    <t>Minimo</t>
  </si>
  <si>
    <t>Máximo</t>
  </si>
  <si>
    <t>Código</t>
  </si>
  <si>
    <t xml:space="preserve">Distribuição par Area Tematica </t>
  </si>
  <si>
    <t>Contratação de Perito-Candidatura</t>
  </si>
  <si>
    <t>Autorizaçãoo de Despesa de Adjucação
Adjudica&lt;;:ao</t>
  </si>
  <si>
    <t>Prestação de Serviços - Candidatura</t>
  </si>
  <si>
    <t>Elaboração do FACI</t>
  </si>
  <si>
    <t>Alegação Contrarias</t>
  </si>
  <si>
    <t>Copromoção</t>
  </si>
  <si>
    <t>Analise Pedido de Pagamento</t>
  </si>
  <si>
    <t>PTRI</t>
  </si>
  <si>
    <t>PTRF</t>
  </si>
  <si>
    <t>Pedido de Esclarecimentos</t>
  </si>
  <si>
    <t>Revisão de Pedido de Pagamento</t>
  </si>
  <si>
    <t>XI-D1</t>
  </si>
  <si>
    <t>Preparação da Visita</t>
  </si>
  <si>
    <t>Visita Intermedia</t>
  </si>
  <si>
    <t>Pós-Visita</t>
  </si>
  <si>
    <t>D2-D4</t>
  </si>
  <si>
    <t>Projeto Nome</t>
  </si>
  <si>
    <t>Pedido Alteração Recusado</t>
  </si>
  <si>
    <t>Pedido Alteração Aceite</t>
  </si>
  <si>
    <t>Pequenas Alterações</t>
  </si>
  <si>
    <t>Alterações que exigem ajuste</t>
  </si>
  <si>
    <t>G1-G6</t>
  </si>
  <si>
    <t>x2-g2</t>
  </si>
  <si>
    <t>Analise Pedido de Prorrogação</t>
  </si>
  <si>
    <t>G2-G6</t>
  </si>
  <si>
    <t>x4-h1</t>
  </si>
  <si>
    <t>Contratação de Perito Visita Final</t>
  </si>
  <si>
    <t>h1-h2</t>
  </si>
  <si>
    <t>Autorização de Despesa (AD) até Adjudicação</t>
  </si>
  <si>
    <t>Preparação da Visita final</t>
  </si>
  <si>
    <t>Visita Final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</si>
  <si>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</si>
  <si>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</si>
  <si>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</si>
  <si>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</si>
  <si>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</si>
  <si>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</si>
  <si>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</si>
  <si>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Análise do Facie</t>
  </si>
  <si>
    <t>h6-h7</t>
  </si>
  <si>
    <t>Contestação</t>
  </si>
  <si>
    <t>Resumo</t>
  </si>
  <si>
    <t>Média de pagamento</t>
  </si>
  <si>
    <t>Zé 1</t>
  </si>
  <si>
    <t>Zé 2</t>
  </si>
  <si>
    <t>Zé 3</t>
  </si>
  <si>
    <t>Zé 4</t>
  </si>
  <si>
    <t>Zé 5</t>
  </si>
  <si>
    <t>Zé 6</t>
  </si>
  <si>
    <t>Zé 7</t>
  </si>
  <si>
    <t>Zé 8</t>
  </si>
  <si>
    <t>Zé 9</t>
  </si>
  <si>
    <t>Esforço Analise</t>
  </si>
  <si>
    <t>Esforço Acompanhamento</t>
  </si>
  <si>
    <t>Esforço Total</t>
  </si>
  <si>
    <t>inserir novos tipos de individual</t>
  </si>
  <si>
    <t>Área temática (n)</t>
  </si>
  <si>
    <t>Numero da Linha</t>
  </si>
  <si>
    <t>Índice</t>
  </si>
  <si>
    <t>P-1</t>
  </si>
  <si>
    <t>P-2</t>
  </si>
  <si>
    <t>P-3</t>
  </si>
  <si>
    <t>P-4</t>
  </si>
  <si>
    <t>P-5</t>
  </si>
  <si>
    <t>P-6</t>
  </si>
  <si>
    <t>P-7</t>
  </si>
  <si>
    <t>P-8</t>
  </si>
  <si>
    <t>P-9</t>
  </si>
  <si>
    <t>P-10</t>
  </si>
  <si>
    <t>P-11</t>
  </si>
  <si>
    <t>P-12</t>
  </si>
  <si>
    <t>P-13</t>
  </si>
  <si>
    <t>P-14</t>
  </si>
  <si>
    <t>P-15</t>
  </si>
  <si>
    <t>P-16</t>
  </si>
  <si>
    <t>P-17</t>
  </si>
  <si>
    <t>P-18</t>
  </si>
  <si>
    <t>P-19</t>
  </si>
  <si>
    <t>P-20</t>
  </si>
  <si>
    <t>Nomes transpostos</t>
  </si>
  <si>
    <t>Candidatura Aprovada</t>
  </si>
  <si>
    <t>Tecnico Analise Candidatura</t>
  </si>
  <si>
    <t>Tecnico Acompanhamento</t>
  </si>
  <si>
    <t>Carga total</t>
  </si>
  <si>
    <t>gp</t>
  </si>
  <si>
    <t>gat</t>
  </si>
  <si>
    <t>Analisar e Encerrar FACI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</si>
</sst>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0" borderId="0" xfId="0" applyNumberFormat="1"/>
  </cellXfs>
  <cellStyles count="2">
    <cellStyle name="Normal" xfId="0" builtinId="0"/>
    <cellStyle name="Normal 2" xfId="1" xr:uid="{CD003651-6662-432B-8A27-5560947C5522}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209550</xdr:colOff>
          <xdr:row>0</xdr:row>
          <xdr:rowOff>38100</xdr:rowOff>
        </xdr:from>
        <xdr:to>
          <xdr:col>16</xdr:col>
          <xdr:colOff>552450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0</xdr:row>
          <xdr:rowOff>47625</xdr:rowOff>
        </xdr:from>
        <xdr:to>
          <xdr:col>13</xdr:col>
          <xdr:colOff>114300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AB14"/>
  <sheetViews>
    <sheetView workbookViewId="0">
      <selection activeCell="N10" sqref="N10"/>
    </sheetView>
  </sheetViews>
  <sheetFormatPr defaultRowHeight="15" x14ac:dyDescent="0.25"/>
  <cols>
    <col min="1" max="1" width="18.5703125" customWidth="1"/>
    <col min="2" max="2" width="15.140625" customWidth="1"/>
    <col min="7" max="7" width="12.28515625" bestFit="1" customWidth="1"/>
    <col min="8" max="8" width="12.140625" bestFit="1" customWidth="1"/>
    <col min="9" max="9" width="11.85546875" bestFit="1" customWidth="1"/>
    <col min="22" max="22" width="8.85546875" customWidth="1"/>
  </cols>
  <sheetData>
    <row r="1" spans="1:28" x14ac:dyDescent="0.25">
      <c r="A1" t="s">
        <v>3</v>
      </c>
      <c r="B1" t="s">
        <v>23</v>
      </c>
      <c r="C1">
        <v>7</v>
      </c>
      <c r="F1" t="s">
        <v>8</v>
      </c>
      <c r="G1" t="s">
        <v>9</v>
      </c>
      <c r="H1" t="s">
        <v>10</v>
      </c>
    </row>
    <row r="2" spans="1:28" x14ac:dyDescent="0.25">
      <c r="A2" t="s">
        <v>2</v>
      </c>
      <c r="B2" t="s">
        <v>23</v>
      </c>
      <c r="C2">
        <v>5</v>
      </c>
      <c r="G2">
        <v>0.6</v>
      </c>
      <c r="H2">
        <v>0.4</v>
      </c>
      <c r="S2" t="s">
        <v>12</v>
      </c>
      <c r="T2" t="s">
        <v>13</v>
      </c>
    </row>
    <row r="4" spans="1:28" x14ac:dyDescent="0.25">
      <c r="C4" t="s">
        <v>0</v>
      </c>
    </row>
    <row r="5" spans="1:28" x14ac:dyDescent="0.25">
      <c r="A5" t="s">
        <v>1</v>
      </c>
      <c r="C5" t="str">
        <f>Projetos!N1</f>
        <v>P-1</v>
      </c>
      <c r="D5" t="str">
        <f>Projetos!O1</f>
        <v>P-2</v>
      </c>
      <c r="E5" t="str">
        <f>Projetos!P1</f>
        <v>P-3</v>
      </c>
      <c r="F5" t="str">
        <f>Projetos!Q1</f>
        <v>P-4</v>
      </c>
      <c r="G5" t="str">
        <f>Projetos!R1</f>
        <v>P-5</v>
      </c>
      <c r="H5" t="str">
        <f>Projetos!S1</f>
        <v>P-6</v>
      </c>
      <c r="I5" t="str">
        <f>Projetos!T1</f>
        <v>P-7</v>
      </c>
      <c r="J5" t="str">
        <f>Projetos!U1</f>
        <v>P-8</v>
      </c>
      <c r="K5" t="str">
        <f>Projetos!V1</f>
        <v>P-9</v>
      </c>
      <c r="L5" t="str">
        <f>Projetos!W1</f>
        <v>P-10</v>
      </c>
      <c r="M5" t="str">
        <f>Projetos!X1</f>
        <v>P-11</v>
      </c>
      <c r="N5" t="str">
        <f>Projetos!Y1</f>
        <v>P-12</v>
      </c>
      <c r="O5" t="str">
        <f>Projetos!Z1</f>
        <v>P-13</v>
      </c>
      <c r="P5" t="str">
        <f>Projetos!AA1</f>
        <v>P-14</v>
      </c>
      <c r="Q5" t="str">
        <f>Projetos!AB1</f>
        <v>P-15</v>
      </c>
      <c r="R5" t="str">
        <f>Projetos!AC1</f>
        <v>P-16</v>
      </c>
      <c r="S5" t="str">
        <f>Projetos!AD1</f>
        <v>P-17</v>
      </c>
      <c r="T5" t="str">
        <f>Projetos!AE1</f>
        <v>P-18</v>
      </c>
      <c r="U5" t="str">
        <f>Projetos!AF1</f>
        <v>P-19</v>
      </c>
      <c r="V5" t="str">
        <f>Projetos!AG1</f>
        <v>P-20</v>
      </c>
    </row>
    <row r="6" spans="1:28" x14ac:dyDescent="0.25">
      <c r="B6" t="str">
        <f>Tecnico!A2</f>
        <v>Zé 1</v>
      </c>
      <c r="C6" s="20">
        <v>1.05</v>
      </c>
      <c r="D6" s="20">
        <v>1.1299999999999999</v>
      </c>
      <c r="E6" s="20">
        <v>1.04</v>
      </c>
      <c r="F6" s="20">
        <v>1.06</v>
      </c>
      <c r="G6" s="20">
        <v>1.03</v>
      </c>
      <c r="H6" s="20">
        <v>1</v>
      </c>
      <c r="I6" s="20">
        <v>1.06</v>
      </c>
      <c r="J6" s="20">
        <v>1.1299999999999999</v>
      </c>
      <c r="K6" s="20">
        <v>1.1000000000000001</v>
      </c>
      <c r="L6" s="20">
        <v>1.1000000000000001</v>
      </c>
      <c r="M6" s="20">
        <v>1.1499999999999999</v>
      </c>
      <c r="N6" s="20">
        <v>1.05</v>
      </c>
      <c r="O6" s="20">
        <v>1.05</v>
      </c>
      <c r="P6" s="20">
        <v>0.84</v>
      </c>
      <c r="Q6" s="20">
        <v>1.04</v>
      </c>
      <c r="R6" s="20">
        <v>1.03</v>
      </c>
      <c r="S6" s="20">
        <v>1.0900000000000001</v>
      </c>
      <c r="T6" s="20">
        <v>0.93</v>
      </c>
      <c r="U6" s="20">
        <v>1.08</v>
      </c>
      <c r="V6" s="20">
        <v>1.08</v>
      </c>
      <c r="AB6">
        <v>0.8</v>
      </c>
    </row>
    <row r="7" spans="1:28" x14ac:dyDescent="0.25">
      <c r="B7" t="str">
        <f>Tecnico!A3</f>
        <v>Zé 2</v>
      </c>
      <c r="C7" s="20">
        <v>0.97</v>
      </c>
      <c r="D7" s="20">
        <v>1.04</v>
      </c>
      <c r="E7" s="20">
        <v>1.1599999999999999</v>
      </c>
      <c r="F7" s="20">
        <v>0.9</v>
      </c>
      <c r="G7" s="20">
        <v>0.92</v>
      </c>
      <c r="H7" s="20">
        <v>1.02</v>
      </c>
      <c r="I7" s="20">
        <v>1.1299999999999999</v>
      </c>
      <c r="J7" s="20">
        <v>1.2</v>
      </c>
      <c r="K7" s="20">
        <v>0.95</v>
      </c>
      <c r="L7" s="20">
        <v>0.87</v>
      </c>
      <c r="M7" s="20">
        <v>1.08</v>
      </c>
      <c r="N7" s="20">
        <v>0.87</v>
      </c>
      <c r="O7" s="20">
        <v>0.86</v>
      </c>
      <c r="P7" s="20">
        <v>1.02</v>
      </c>
      <c r="Q7" s="20">
        <v>0.97</v>
      </c>
      <c r="R7" s="20">
        <v>0.98</v>
      </c>
      <c r="S7" s="20">
        <v>1.1000000000000001</v>
      </c>
      <c r="T7" s="20">
        <v>0.84</v>
      </c>
      <c r="U7" s="20">
        <v>1.08</v>
      </c>
      <c r="V7" s="20">
        <v>1.2</v>
      </c>
      <c r="AB7">
        <v>1.2</v>
      </c>
    </row>
    <row r="8" spans="1:28" x14ac:dyDescent="0.25">
      <c r="B8" t="str">
        <f>Tecnico!A4</f>
        <v>Zé 3</v>
      </c>
      <c r="C8" s="20">
        <v>1.18</v>
      </c>
      <c r="D8" s="20">
        <v>1.1399999999999999</v>
      </c>
      <c r="E8" s="20">
        <v>1.1599999999999999</v>
      </c>
      <c r="F8" s="20">
        <v>1.06</v>
      </c>
      <c r="G8" s="20">
        <v>0.88</v>
      </c>
      <c r="H8" s="20">
        <v>0.97</v>
      </c>
      <c r="I8" s="20">
        <v>0.98</v>
      </c>
      <c r="J8" s="20">
        <v>1.1200000000000001</v>
      </c>
      <c r="K8" s="20">
        <v>1.1499999999999999</v>
      </c>
      <c r="L8" s="20">
        <v>0.97</v>
      </c>
      <c r="M8" s="20">
        <v>1.04</v>
      </c>
      <c r="N8" s="20">
        <v>0.88</v>
      </c>
      <c r="O8" s="20">
        <v>1.1499999999999999</v>
      </c>
      <c r="P8" s="20">
        <v>1.1100000000000001</v>
      </c>
      <c r="Q8" s="20">
        <v>1.05</v>
      </c>
      <c r="R8" s="20">
        <v>0.95</v>
      </c>
      <c r="S8" s="20">
        <v>1.06</v>
      </c>
      <c r="T8" s="20">
        <v>0.87</v>
      </c>
      <c r="U8" s="20">
        <v>0.97</v>
      </c>
      <c r="V8" s="20">
        <v>1.05</v>
      </c>
    </row>
    <row r="9" spans="1:28" x14ac:dyDescent="0.25">
      <c r="B9" t="str">
        <f>Tecnico!A5</f>
        <v>Zé 4</v>
      </c>
      <c r="C9" s="20">
        <v>0.83</v>
      </c>
      <c r="D9" s="20">
        <v>0.83</v>
      </c>
      <c r="E9" s="20">
        <v>0.87</v>
      </c>
      <c r="F9" s="20">
        <v>0.8</v>
      </c>
      <c r="G9" s="20">
        <v>0.83</v>
      </c>
      <c r="H9" s="20">
        <v>1.03</v>
      </c>
      <c r="I9" s="20">
        <v>1.04</v>
      </c>
      <c r="J9" s="20">
        <v>1.1100000000000001</v>
      </c>
      <c r="K9" s="20">
        <v>1.01</v>
      </c>
      <c r="L9" s="20">
        <v>0.92</v>
      </c>
      <c r="M9" s="20">
        <v>0.83</v>
      </c>
      <c r="N9" s="20">
        <v>1</v>
      </c>
      <c r="O9" s="20">
        <v>0.81</v>
      </c>
      <c r="P9" s="20">
        <v>0.88</v>
      </c>
      <c r="Q9" s="20">
        <v>0.85</v>
      </c>
      <c r="R9" s="20">
        <v>0.92</v>
      </c>
      <c r="S9" s="20">
        <v>1.1499999999999999</v>
      </c>
      <c r="T9" s="20">
        <v>1.07</v>
      </c>
      <c r="U9" s="20">
        <v>0.83</v>
      </c>
      <c r="V9" s="20">
        <v>1.0900000000000001</v>
      </c>
    </row>
    <row r="10" spans="1:28" x14ac:dyDescent="0.25">
      <c r="B10" t="str">
        <f>Tecnico!A6</f>
        <v>Zé 5</v>
      </c>
      <c r="C10" s="20">
        <v>0.81</v>
      </c>
      <c r="D10" s="20">
        <v>0.83</v>
      </c>
      <c r="E10" s="20">
        <v>0.94</v>
      </c>
      <c r="F10" s="20">
        <v>0.94</v>
      </c>
      <c r="G10" s="20">
        <v>0.81</v>
      </c>
      <c r="H10" s="20">
        <v>0.82</v>
      </c>
      <c r="I10" s="20">
        <v>0.96</v>
      </c>
      <c r="J10" s="20">
        <v>0.83</v>
      </c>
      <c r="K10" s="20">
        <v>1.06</v>
      </c>
      <c r="L10" s="20">
        <v>1.1200000000000001</v>
      </c>
      <c r="M10" s="20">
        <v>0.99</v>
      </c>
      <c r="N10" s="20">
        <v>1.04</v>
      </c>
      <c r="O10" s="20">
        <v>0.9</v>
      </c>
      <c r="P10" s="20">
        <v>0.87</v>
      </c>
      <c r="Q10" s="20">
        <v>0.84</v>
      </c>
      <c r="R10" s="20">
        <v>0.83</v>
      </c>
      <c r="S10" s="20">
        <v>0.97</v>
      </c>
      <c r="T10" s="20">
        <v>0.83</v>
      </c>
      <c r="U10" s="20">
        <v>0.97</v>
      </c>
      <c r="V10" s="20">
        <v>1.1499999999999999</v>
      </c>
    </row>
    <row r="11" spans="1:28" x14ac:dyDescent="0.25">
      <c r="B11" t="str">
        <f>Tecnico!A7</f>
        <v>Zé 6</v>
      </c>
      <c r="C11" s="20">
        <v>1.01</v>
      </c>
      <c r="D11" s="20">
        <v>1.0900000000000001</v>
      </c>
      <c r="E11" s="20">
        <v>0.94</v>
      </c>
      <c r="F11" s="20">
        <v>1.02</v>
      </c>
      <c r="G11" s="20">
        <v>1.06</v>
      </c>
      <c r="H11" s="20">
        <v>0.99</v>
      </c>
      <c r="I11" s="20">
        <v>1.08</v>
      </c>
      <c r="J11" s="20">
        <v>1.05</v>
      </c>
      <c r="K11" s="20">
        <v>1.02</v>
      </c>
      <c r="L11" s="20">
        <v>0.81</v>
      </c>
      <c r="M11" s="20">
        <v>1.1399999999999999</v>
      </c>
      <c r="N11" s="20">
        <v>1.0900000000000001</v>
      </c>
      <c r="O11" s="20">
        <v>1.07</v>
      </c>
      <c r="P11" s="20">
        <v>0.94</v>
      </c>
      <c r="Q11" s="20">
        <v>1.19</v>
      </c>
      <c r="R11" s="20">
        <v>1.0900000000000001</v>
      </c>
      <c r="S11" s="20">
        <v>0.87</v>
      </c>
      <c r="T11" s="20">
        <v>1.05</v>
      </c>
      <c r="U11" s="20">
        <v>0.87</v>
      </c>
      <c r="V11" s="20">
        <v>0.93</v>
      </c>
    </row>
    <row r="12" spans="1:28" x14ac:dyDescent="0.25">
      <c r="B12" t="str">
        <f>Tecnico!A8</f>
        <v>Zé 7</v>
      </c>
      <c r="C12" s="20">
        <v>1.07</v>
      </c>
      <c r="D12" s="20">
        <v>0.86</v>
      </c>
      <c r="E12" s="20">
        <v>1.07</v>
      </c>
      <c r="F12" s="20">
        <v>1.1000000000000001</v>
      </c>
      <c r="G12" s="20">
        <v>1.08</v>
      </c>
      <c r="H12" s="20">
        <v>1.04</v>
      </c>
      <c r="I12" s="20">
        <v>1.1000000000000001</v>
      </c>
      <c r="J12" s="20">
        <v>0.83</v>
      </c>
      <c r="K12" s="20">
        <v>0.85</v>
      </c>
      <c r="L12" s="20">
        <v>0.86</v>
      </c>
      <c r="M12" s="20">
        <v>1.1200000000000001</v>
      </c>
      <c r="N12" s="20">
        <v>1.1599999999999999</v>
      </c>
      <c r="O12" s="20">
        <v>1</v>
      </c>
      <c r="P12" s="20">
        <v>1.06</v>
      </c>
      <c r="Q12" s="20">
        <v>0.89</v>
      </c>
      <c r="R12" s="20">
        <v>1.19</v>
      </c>
      <c r="S12" s="20">
        <v>1.01</v>
      </c>
      <c r="T12" s="20">
        <v>0.84</v>
      </c>
      <c r="U12" s="20">
        <v>0.85</v>
      </c>
      <c r="V12" s="20">
        <v>1.1100000000000001</v>
      </c>
    </row>
    <row r="13" spans="1:28" x14ac:dyDescent="0.25">
      <c r="B13" t="str">
        <f>Tecnico!A9</f>
        <v>Zé 8</v>
      </c>
      <c r="C13" s="20">
        <v>1.01</v>
      </c>
      <c r="D13" s="20">
        <v>0.88</v>
      </c>
      <c r="E13" s="20">
        <v>0.94</v>
      </c>
      <c r="F13" s="20">
        <v>0.96</v>
      </c>
      <c r="G13" s="20">
        <v>0.95</v>
      </c>
      <c r="H13" s="20">
        <v>0.8</v>
      </c>
      <c r="I13" s="20">
        <v>1.1399999999999999</v>
      </c>
      <c r="J13" s="20">
        <v>1.07</v>
      </c>
      <c r="K13" s="20">
        <v>1.18</v>
      </c>
      <c r="L13" s="20">
        <v>0.99</v>
      </c>
      <c r="M13" s="20">
        <v>1.17</v>
      </c>
      <c r="N13" s="20">
        <v>0.88</v>
      </c>
      <c r="O13" s="20">
        <v>0.98</v>
      </c>
      <c r="P13" s="20">
        <v>0.93</v>
      </c>
      <c r="Q13" s="20">
        <v>1.03</v>
      </c>
      <c r="R13" s="20">
        <v>1.02</v>
      </c>
      <c r="S13" s="20">
        <v>1.0900000000000001</v>
      </c>
      <c r="T13" s="20">
        <v>1.03</v>
      </c>
      <c r="U13" s="20">
        <v>0.98</v>
      </c>
      <c r="V13" s="20">
        <v>0.85</v>
      </c>
    </row>
    <row r="14" spans="1:28" x14ac:dyDescent="0.25">
      <c r="B14" t="str">
        <f>Tecnico!A10</f>
        <v>Zé 9</v>
      </c>
      <c r="C14" s="20">
        <v>0.93</v>
      </c>
      <c r="D14" s="20">
        <v>1.01</v>
      </c>
      <c r="E14" s="20">
        <v>1.1599999999999999</v>
      </c>
      <c r="F14" s="20">
        <v>0.86</v>
      </c>
      <c r="G14" s="20">
        <v>0.87</v>
      </c>
      <c r="H14" s="20">
        <v>1.1299999999999999</v>
      </c>
      <c r="I14" s="20">
        <v>1.1200000000000001</v>
      </c>
      <c r="J14" s="20">
        <v>1.1499999999999999</v>
      </c>
      <c r="K14" s="20">
        <v>1.1200000000000001</v>
      </c>
      <c r="L14" s="20">
        <v>0.85</v>
      </c>
      <c r="M14" s="20">
        <v>0.91</v>
      </c>
      <c r="N14" s="20">
        <v>0.93</v>
      </c>
      <c r="O14" s="20">
        <v>1.1100000000000001</v>
      </c>
      <c r="P14" s="20">
        <v>1.1000000000000001</v>
      </c>
      <c r="Q14" s="20">
        <v>0.95</v>
      </c>
      <c r="R14" s="20">
        <v>0.84</v>
      </c>
      <c r="S14" s="20">
        <v>0.98</v>
      </c>
      <c r="T14" s="20">
        <v>1.01</v>
      </c>
      <c r="U14" s="20">
        <v>0.87</v>
      </c>
      <c r="V14" s="20">
        <v>0.86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209550</xdr:colOff>
                    <xdr:row>0</xdr:row>
                    <xdr:rowOff>38100</xdr:rowOff>
                  </from>
                  <to>
                    <xdr:col>16</xdr:col>
                    <xdr:colOff>552450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tallPyLibs">
                <anchor moveWithCells="1" sizeWithCells="1">
                  <from>
                    <xdr:col>9</xdr:col>
                    <xdr:colOff>381000</xdr:colOff>
                    <xdr:row>0</xdr:row>
                    <xdr:rowOff>47625</xdr:rowOff>
                  </from>
                  <to>
                    <xdr:col>13</xdr:col>
                    <xdr:colOff>114300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B2B9-3A88-48BD-AA3E-CAD0E1BD4061}">
  <dimension ref="A1:R10"/>
  <sheetViews>
    <sheetView workbookViewId="0">
      <selection activeCell="N21" sqref="N21"/>
    </sheetView>
  </sheetViews>
  <sheetFormatPr defaultRowHeight="15" x14ac:dyDescent="0.25"/>
  <cols>
    <col min="2" max="2" width="16.140625" hidden="1" customWidth="1"/>
    <col min="3" max="3" width="15" bestFit="1" customWidth="1"/>
    <col min="4" max="4" width="14.42578125" bestFit="1" customWidth="1"/>
    <col min="5" max="5" width="22.42578125" bestFit="1" customWidth="1"/>
    <col min="6" max="6" width="8.5703125" bestFit="1" customWidth="1"/>
    <col min="7" max="7" width="10.42578125" bestFit="1" customWidth="1"/>
    <col min="11" max="11" width="12.140625" bestFit="1" customWidth="1"/>
  </cols>
  <sheetData>
    <row r="1" spans="1:18" x14ac:dyDescent="0.25">
      <c r="A1" t="s">
        <v>1</v>
      </c>
      <c r="B1" t="s">
        <v>115</v>
      </c>
      <c r="C1" t="s">
        <v>4</v>
      </c>
      <c r="D1" t="s">
        <v>5</v>
      </c>
      <c r="E1" t="s">
        <v>6</v>
      </c>
      <c r="F1" t="s">
        <v>7</v>
      </c>
      <c r="G1" t="s">
        <v>141</v>
      </c>
    </row>
    <row r="2" spans="1:18" x14ac:dyDescent="0.25">
      <c r="A2" t="s">
        <v>101</v>
      </c>
      <c r="B2">
        <f>ROW()</f>
        <v>2</v>
      </c>
      <c r="C2">
        <v>4</v>
      </c>
      <c r="D2">
        <v>3</v>
      </c>
      <c r="E2">
        <v>3</v>
      </c>
      <c r="F2">
        <v>3</v>
      </c>
      <c r="G2">
        <f ca="1">SUMIF(Projetos!J2:K21,Tecnico!A2,Projetos!F2:G21)</f>
        <v>107.75</v>
      </c>
    </row>
    <row r="3" spans="1:18" x14ac:dyDescent="0.25">
      <c r="A3" t="s">
        <v>102</v>
      </c>
      <c r="B3">
        <f>ROW()</f>
        <v>3</v>
      </c>
      <c r="C3">
        <v>3</v>
      </c>
      <c r="D3">
        <v>2</v>
      </c>
      <c r="E3">
        <v>1</v>
      </c>
      <c r="F3">
        <v>1</v>
      </c>
      <c r="G3">
        <f ca="1">SUMIF(Projetos!J3:K22,Tecnico!A3,Projetos!F3:G22)</f>
        <v>360.45000000000005</v>
      </c>
    </row>
    <row r="4" spans="1:18" x14ac:dyDescent="0.25">
      <c r="A4" t="s">
        <v>103</v>
      </c>
      <c r="B4">
        <f>ROW()</f>
        <v>4</v>
      </c>
      <c r="C4">
        <v>5</v>
      </c>
      <c r="D4">
        <v>3</v>
      </c>
      <c r="E4">
        <v>4</v>
      </c>
      <c r="F4">
        <v>4</v>
      </c>
      <c r="G4">
        <f ca="1">SUMIF(Projetos!J4:K23,Tecnico!A4,Projetos!F4:G23)</f>
        <v>305.55</v>
      </c>
      <c r="J4" s="2" t="s">
        <v>15</v>
      </c>
      <c r="K4" s="2" t="s">
        <v>10</v>
      </c>
      <c r="L4" s="8" t="s">
        <v>4</v>
      </c>
      <c r="M4" s="5" t="s">
        <v>19</v>
      </c>
      <c r="N4" s="6"/>
      <c r="O4" s="6"/>
      <c r="P4" s="6"/>
      <c r="Q4" s="6"/>
      <c r="R4" s="6"/>
    </row>
    <row r="5" spans="1:18" x14ac:dyDescent="0.25">
      <c r="A5" t="s">
        <v>104</v>
      </c>
      <c r="B5">
        <f>ROW()</f>
        <v>5</v>
      </c>
      <c r="C5">
        <v>6</v>
      </c>
      <c r="D5">
        <v>4</v>
      </c>
      <c r="E5">
        <v>4</v>
      </c>
      <c r="F5">
        <v>2</v>
      </c>
      <c r="G5">
        <f ca="1">SUMIF(Projetos!J5:K24,Tecnico!A5,Projetos!F5:G24)</f>
        <v>25.5</v>
      </c>
      <c r="J5" s="2">
        <v>1</v>
      </c>
      <c r="K5" s="2" t="s">
        <v>20</v>
      </c>
      <c r="L5" s="9"/>
      <c r="M5" s="4" t="s">
        <v>18</v>
      </c>
      <c r="N5" s="4"/>
      <c r="O5" s="4"/>
      <c r="P5" s="4"/>
      <c r="Q5" s="4"/>
      <c r="R5" s="4"/>
    </row>
    <row r="6" spans="1:18" x14ac:dyDescent="0.25">
      <c r="A6" t="s">
        <v>105</v>
      </c>
      <c r="B6">
        <f>ROW()</f>
        <v>6</v>
      </c>
      <c r="C6">
        <v>5</v>
      </c>
      <c r="D6">
        <v>3</v>
      </c>
      <c r="E6">
        <v>5</v>
      </c>
      <c r="F6">
        <v>5</v>
      </c>
      <c r="G6">
        <f ca="1">SUMIF(Projetos!J6:K25,Tecnico!A6,Projetos!F6:G25)</f>
        <v>304.39999999999998</v>
      </c>
      <c r="J6" s="2">
        <v>2</v>
      </c>
      <c r="K6" s="2" t="s">
        <v>16</v>
      </c>
    </row>
    <row r="7" spans="1:18" x14ac:dyDescent="0.25">
      <c r="A7" t="s">
        <v>106</v>
      </c>
      <c r="B7">
        <f>ROW()</f>
        <v>7</v>
      </c>
      <c r="C7">
        <v>2</v>
      </c>
      <c r="D7">
        <v>4</v>
      </c>
      <c r="E7">
        <v>1</v>
      </c>
      <c r="F7">
        <v>5</v>
      </c>
      <c r="G7">
        <f ca="1">SUMIF(Projetos!J7:K26,Tecnico!A7,Projetos!F7:G26)</f>
        <v>327.55</v>
      </c>
      <c r="J7" s="2">
        <v>3</v>
      </c>
      <c r="K7" s="2" t="s">
        <v>17</v>
      </c>
    </row>
    <row r="8" spans="1:18" x14ac:dyDescent="0.25">
      <c r="A8" t="s">
        <v>107</v>
      </c>
      <c r="B8">
        <f>ROW()</f>
        <v>8</v>
      </c>
      <c r="C8">
        <v>9</v>
      </c>
      <c r="D8">
        <v>2</v>
      </c>
      <c r="E8">
        <v>5</v>
      </c>
      <c r="F8">
        <v>1</v>
      </c>
      <c r="G8">
        <f ca="1">SUMIF(Projetos!J8:K27,Tecnico!A8,Projetos!F8:G27)</f>
        <v>22.75</v>
      </c>
      <c r="J8" s="2">
        <v>4</v>
      </c>
      <c r="K8" s="2" t="s">
        <v>21</v>
      </c>
    </row>
    <row r="9" spans="1:18" x14ac:dyDescent="0.25">
      <c r="A9" t="s">
        <v>108</v>
      </c>
      <c r="B9">
        <f>ROW()</f>
        <v>9</v>
      </c>
      <c r="C9">
        <v>5</v>
      </c>
      <c r="D9">
        <v>4</v>
      </c>
      <c r="E9">
        <v>2</v>
      </c>
      <c r="F9">
        <v>5</v>
      </c>
      <c r="G9">
        <f ca="1">SUMIF(Projetos!J9:K28,Tecnico!A9,Projetos!F9:G28)</f>
        <v>220.55</v>
      </c>
      <c r="J9" s="2">
        <v>5</v>
      </c>
      <c r="K9" s="2" t="s">
        <v>22</v>
      </c>
    </row>
    <row r="10" spans="1:18" x14ac:dyDescent="0.25">
      <c r="A10" t="s">
        <v>109</v>
      </c>
      <c r="B10">
        <f>ROW()</f>
        <v>10</v>
      </c>
      <c r="C10">
        <v>4</v>
      </c>
      <c r="D10">
        <v>1</v>
      </c>
      <c r="E10">
        <v>3</v>
      </c>
      <c r="F10">
        <v>5</v>
      </c>
      <c r="G10">
        <f ca="1">SUMIF(Projetos!J10:K29,Tecnico!A10,Projetos!F10:G29)</f>
        <v>271.05</v>
      </c>
    </row>
  </sheetData>
  <mergeCells count="1">
    <mergeCell ref="L4:L5"/>
  </mergeCells>
  <phoneticPr fontId="4" type="noConversion"/>
  <dataValidations count="1">
    <dataValidation type="list" allowBlank="1" showInputMessage="1" showErrorMessage="1" sqref="D2:F10" xr:uid="{15067A61-68ED-4F78-82DC-4892110BBF0A}">
      <formula1>$J$5:$J$9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AEB33-0F3F-400A-AF2D-2F733F7A6E32}">
  <dimension ref="A1:ZX21"/>
  <sheetViews>
    <sheetView tabSelected="1" workbookViewId="0">
      <selection activeCell="J6" sqref="J6"/>
    </sheetView>
  </sheetViews>
  <sheetFormatPr defaultRowHeight="15" x14ac:dyDescent="0.25"/>
  <cols>
    <col min="2" max="2" width="13.5703125" bestFit="1" customWidth="1"/>
    <col min="3" max="3" width="11.85546875" bestFit="1" customWidth="1"/>
    <col min="4" max="4" width="22.42578125" bestFit="1" customWidth="1"/>
    <col min="5" max="5" width="16.42578125" bestFit="1" customWidth="1"/>
    <col min="6" max="6" width="14.5703125" bestFit="1" customWidth="1"/>
    <col min="7" max="7" width="24.5703125" bestFit="1" customWidth="1"/>
    <col min="8" max="8" width="12.28515625" bestFit="1" customWidth="1"/>
    <col min="9" max="9" width="21.85546875" bestFit="1" customWidth="1"/>
    <col min="10" max="10" width="26.42578125" bestFit="1" customWidth="1"/>
    <col min="11" max="11" width="24.85546875" bestFit="1" customWidth="1"/>
    <col min="12" max="12" width="12.28515625" customWidth="1"/>
    <col min="13" max="700" width="0" hidden="1" customWidth="1"/>
  </cols>
  <sheetData>
    <row r="1" spans="1:700" x14ac:dyDescent="0.25">
      <c r="A1" t="s">
        <v>116</v>
      </c>
      <c r="B1" t="s">
        <v>74</v>
      </c>
      <c r="C1" t="s">
        <v>11</v>
      </c>
      <c r="D1" t="s">
        <v>14</v>
      </c>
      <c r="E1" t="s">
        <v>114</v>
      </c>
      <c r="F1" t="s">
        <v>110</v>
      </c>
      <c r="G1" t="s">
        <v>111</v>
      </c>
      <c r="H1" t="s">
        <v>112</v>
      </c>
      <c r="I1" t="s">
        <v>138</v>
      </c>
      <c r="J1" t="s">
        <v>139</v>
      </c>
      <c r="K1" t="s">
        <v>140</v>
      </c>
      <c r="M1" t="s">
        <v>137</v>
      </c>
      <c r="N1" t="str" cm="1">
        <f t="array" ref="N1:ZX1">TRANSPOSE(B2:B688)</f>
        <v>P-1</v>
      </c>
      <c r="O1" t="str">
        <v>P-2</v>
      </c>
      <c r="P1" t="str">
        <v>P-3</v>
      </c>
      <c r="Q1" t="str">
        <v>P-4</v>
      </c>
      <c r="R1" t="str">
        <v>P-5</v>
      </c>
      <c r="S1" t="str">
        <v>P-6</v>
      </c>
      <c r="T1" t="str">
        <v>P-7</v>
      </c>
      <c r="U1" t="str">
        <v>P-8</v>
      </c>
      <c r="V1" t="str">
        <v>P-9</v>
      </c>
      <c r="W1" t="str">
        <v>P-10</v>
      </c>
      <c r="X1" t="str">
        <v>P-11</v>
      </c>
      <c r="Y1" t="str">
        <v>P-12</v>
      </c>
      <c r="Z1" t="str">
        <v>P-13</v>
      </c>
      <c r="AA1" t="str">
        <v>P-14</v>
      </c>
      <c r="AB1" t="str">
        <v>P-15</v>
      </c>
      <c r="AC1" t="str">
        <v>P-16</v>
      </c>
      <c r="AD1" t="str">
        <v>P-17</v>
      </c>
      <c r="AE1" t="str">
        <v>P-18</v>
      </c>
      <c r="AF1" t="str">
        <v>P-19</v>
      </c>
      <c r="AG1" t="str">
        <v>P-20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0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</v>
      </c>
      <c r="SZ1">
        <v>0</v>
      </c>
      <c r="TA1">
        <v>0</v>
      </c>
      <c r="TB1">
        <v>0</v>
      </c>
      <c r="TC1">
        <v>0</v>
      </c>
      <c r="TD1">
        <v>0</v>
      </c>
      <c r="TE1">
        <v>0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</v>
      </c>
      <c r="TX1">
        <v>0</v>
      </c>
      <c r="TY1">
        <v>0</v>
      </c>
      <c r="TZ1">
        <v>0</v>
      </c>
      <c r="UA1">
        <v>0</v>
      </c>
      <c r="UB1">
        <v>0</v>
      </c>
      <c r="UC1">
        <v>0</v>
      </c>
      <c r="UD1">
        <v>0</v>
      </c>
      <c r="UE1">
        <v>0</v>
      </c>
      <c r="UF1">
        <v>0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</v>
      </c>
      <c r="WZ1">
        <v>0</v>
      </c>
      <c r="XA1">
        <v>0</v>
      </c>
      <c r="XB1">
        <v>0</v>
      </c>
      <c r="XC1">
        <v>0</v>
      </c>
      <c r="XD1">
        <v>0</v>
      </c>
      <c r="XE1">
        <v>0</v>
      </c>
      <c r="XF1">
        <v>0</v>
      </c>
      <c r="XG1">
        <v>0</v>
      </c>
      <c r="XH1">
        <v>0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0</v>
      </c>
      <c r="XX1">
        <v>0</v>
      </c>
      <c r="XY1">
        <v>0</v>
      </c>
      <c r="XZ1">
        <v>0</v>
      </c>
      <c r="YA1">
        <v>0</v>
      </c>
      <c r="YB1">
        <v>0</v>
      </c>
      <c r="YC1">
        <v>0</v>
      </c>
      <c r="YD1">
        <v>0</v>
      </c>
      <c r="YE1">
        <v>0</v>
      </c>
      <c r="YF1">
        <v>0</v>
      </c>
      <c r="YG1">
        <v>0</v>
      </c>
      <c r="YH1">
        <v>0</v>
      </c>
      <c r="YI1">
        <v>0</v>
      </c>
      <c r="YJ1">
        <v>0</v>
      </c>
      <c r="YK1">
        <v>0</v>
      </c>
      <c r="YL1">
        <v>0</v>
      </c>
      <c r="YM1">
        <v>0</v>
      </c>
      <c r="YN1">
        <v>0</v>
      </c>
      <c r="YO1">
        <v>0</v>
      </c>
      <c r="YP1">
        <v>0</v>
      </c>
      <c r="YQ1">
        <v>0</v>
      </c>
      <c r="YR1">
        <v>0</v>
      </c>
      <c r="YS1">
        <v>0</v>
      </c>
      <c r="YT1">
        <v>0</v>
      </c>
      <c r="YU1">
        <v>0</v>
      </c>
      <c r="YV1">
        <v>0</v>
      </c>
      <c r="YW1">
        <v>0</v>
      </c>
      <c r="YX1">
        <v>0</v>
      </c>
      <c r="YY1">
        <v>0</v>
      </c>
      <c r="YZ1">
        <v>0</v>
      </c>
      <c r="ZA1">
        <v>0</v>
      </c>
      <c r="ZB1">
        <v>0</v>
      </c>
      <c r="ZC1">
        <v>0</v>
      </c>
      <c r="ZD1">
        <v>0</v>
      </c>
      <c r="ZE1">
        <v>0</v>
      </c>
      <c r="ZF1">
        <v>0</v>
      </c>
      <c r="ZG1">
        <v>0</v>
      </c>
      <c r="ZH1">
        <v>0</v>
      </c>
      <c r="ZI1">
        <v>0</v>
      </c>
      <c r="ZJ1">
        <v>0</v>
      </c>
      <c r="ZK1">
        <v>0</v>
      </c>
      <c r="ZL1">
        <v>0</v>
      </c>
      <c r="ZM1">
        <v>0</v>
      </c>
      <c r="ZN1">
        <v>0</v>
      </c>
      <c r="ZO1">
        <v>0</v>
      </c>
      <c r="ZP1">
        <v>0</v>
      </c>
      <c r="ZQ1">
        <v>0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</row>
    <row r="2" spans="1:700" x14ac:dyDescent="0.25">
      <c r="A2">
        <v>1</v>
      </c>
      <c r="B2" t="s">
        <v>117</v>
      </c>
      <c r="C2" t="s">
        <v>28</v>
      </c>
      <c r="D2" t="s">
        <v>5</v>
      </c>
      <c r="E2">
        <f>IF(D2="AGRO/BIO/QUI",1,IF(D2="TIC/INST",2,3))</f>
        <v>1</v>
      </c>
      <c r="F2">
        <f>IF(C2="Individual",'Base Dados Esforço'!$M$8,IF(C2="Copromoção",'Base Dados Esforço'!$M$9,'Base Dados Esforço'!$M$10))</f>
        <v>22.75</v>
      </c>
      <c r="G2">
        <f>IF(C2="Individual",'Base Dados Esforço'!$N$8,IF(C2="Copromoção",'Base Dados Esforço'!$N$9,'Base Dados Esforço'!$N$10))</f>
        <v>105.4</v>
      </c>
      <c r="H2">
        <f>F2+G2</f>
        <v>128.15</v>
      </c>
      <c r="I2">
        <f ca="1">RANDBETWEEN(0,1)</f>
        <v>0</v>
      </c>
      <c r="J2" t="str" cm="1">
        <f t="array" aca="1" ref="J2" ca="1">INDEX(Tecnico!$A$2:$A$10,RANDBETWEEN(1,ROWS(Tecnico!$A$2:$A$10)),1)</f>
        <v>Zé 1</v>
      </c>
      <c r="K2" t="str" cm="1">
        <f t="array" aca="1" ref="K2" ca="1">IF(I2=1,INDEX(Tecnico!$A$2:$A$10,RANDBETWEEN(1,ROWS(Tecnico!$A$2:$A$10)),1),"Sem Acompanhamento")</f>
        <v>Sem Acompanhamento</v>
      </c>
    </row>
    <row r="3" spans="1:700" x14ac:dyDescent="0.25">
      <c r="A3">
        <v>2</v>
      </c>
      <c r="B3" t="s">
        <v>118</v>
      </c>
      <c r="C3" t="s">
        <v>63</v>
      </c>
      <c r="D3" t="s">
        <v>7</v>
      </c>
      <c r="E3">
        <f t="shared" ref="E3:E21" si="0">IF(D3="AGRO/BIO/QUI",1,IF(D3="TIC/INST",2,3))</f>
        <v>2</v>
      </c>
      <c r="F3">
        <f>IF(C3="Individual",'Base Dados Esforço'!$M$8,IF(C3="Copromoção",'Base Dados Esforço'!$M$9,'Base Dados Esforço'!$M$10))</f>
        <v>25.5</v>
      </c>
      <c r="G3">
        <f>IF(C3="Individual",'Base Dados Esforço'!$N$8,IF(C3="Copromoção",'Base Dados Esforço'!$N$9,'Base Dados Esforço'!$N$10))</f>
        <v>106.15</v>
      </c>
      <c r="H3">
        <f t="shared" ref="H3:H21" si="1">F3+G3</f>
        <v>131.65</v>
      </c>
      <c r="I3">
        <f t="shared" ref="I3:I21" ca="1" si="2">RANDBETWEEN(0,1)</f>
        <v>0</v>
      </c>
      <c r="J3" t="str" cm="1">
        <f t="array" aca="1" ref="J3" ca="1">INDEX(Tecnico!$A$2:$A$10,RANDBETWEEN(1,ROWS(Tecnico!$A$2:$A$10)),1)</f>
        <v>Zé 5</v>
      </c>
      <c r="K3" t="str" cm="1">
        <f t="array" aca="1" ref="K3" ca="1">IF(I3=1,INDEX(Tecnico!$A$2:$A$10,RANDBETWEEN(1,ROWS(Tecnico!$A$2:$A$10)),1),"Sem Acompanhamento")</f>
        <v>Sem Acompanhamento</v>
      </c>
    </row>
    <row r="4" spans="1:700" x14ac:dyDescent="0.25">
      <c r="A4">
        <v>3</v>
      </c>
      <c r="B4" t="s">
        <v>119</v>
      </c>
      <c r="C4" t="s">
        <v>28</v>
      </c>
      <c r="D4" t="s">
        <v>6</v>
      </c>
      <c r="E4">
        <f t="shared" si="0"/>
        <v>3</v>
      </c>
      <c r="F4">
        <f>IF(C4="Individual",'Base Dados Esforço'!$M$8,IF(C4="Copromoção",'Base Dados Esforço'!$M$9,'Base Dados Esforço'!$M$10))</f>
        <v>22.75</v>
      </c>
      <c r="G4">
        <f>IF(C4="Individual",'Base Dados Esforço'!$N$8,IF(C4="Copromoção",'Base Dados Esforço'!$N$9,'Base Dados Esforço'!$N$10))</f>
        <v>105.4</v>
      </c>
      <c r="H4">
        <f t="shared" si="1"/>
        <v>128.15</v>
      </c>
      <c r="I4">
        <f t="shared" ca="1" si="2"/>
        <v>0</v>
      </c>
      <c r="J4" t="str" cm="1">
        <f t="array" aca="1" ref="J4" ca="1">INDEX(Tecnico!$A$2:$A$10,RANDBETWEEN(1,ROWS(Tecnico!$A$2:$A$10)),1)</f>
        <v>Zé 7</v>
      </c>
      <c r="K4" t="str" cm="1">
        <f t="array" aca="1" ref="K4" ca="1">IF(I4=1,INDEX(Tecnico!$A$2:$A$10,RANDBETWEEN(1,ROWS(Tecnico!$A$2:$A$10)),1),"Sem Acompanhamento")</f>
        <v>Sem Acompanhamento</v>
      </c>
    </row>
    <row r="5" spans="1:700" x14ac:dyDescent="0.25">
      <c r="A5">
        <v>4</v>
      </c>
      <c r="B5" t="s">
        <v>120</v>
      </c>
      <c r="C5" t="s">
        <v>63</v>
      </c>
      <c r="D5" t="s">
        <v>5</v>
      </c>
      <c r="E5">
        <f t="shared" si="0"/>
        <v>1</v>
      </c>
      <c r="F5">
        <f>IF(C5="Individual",'Base Dados Esforço'!$M$8,IF(C5="Copromoção",'Base Dados Esforço'!$M$9,'Base Dados Esforço'!$M$10))</f>
        <v>25.5</v>
      </c>
      <c r="G5">
        <f>IF(C5="Individual",'Base Dados Esforço'!$N$8,IF(C5="Copromoção",'Base Dados Esforço'!$N$9,'Base Dados Esforço'!$N$10))</f>
        <v>106.15</v>
      </c>
      <c r="H5">
        <f t="shared" si="1"/>
        <v>131.65</v>
      </c>
      <c r="I5">
        <f t="shared" ca="1" si="2"/>
        <v>1</v>
      </c>
      <c r="J5" t="str" cm="1">
        <f t="array" aca="1" ref="J5" ca="1">INDEX(Tecnico!$A$2:$A$10,RANDBETWEEN(1,ROWS(Tecnico!$A$2:$A$10)),1)</f>
        <v>Zé 3</v>
      </c>
      <c r="K5" t="str" cm="1">
        <f t="array" aca="1" ref="K5" ca="1">IF(I5=1,INDEX(Tecnico!$A$2:$A$10,RANDBETWEEN(1,ROWS(Tecnico!$A$2:$A$10)),1),"Sem Acompanhamento")</f>
        <v>Zé 2</v>
      </c>
    </row>
    <row r="6" spans="1:700" x14ac:dyDescent="0.25">
      <c r="A6">
        <v>5</v>
      </c>
      <c r="B6" t="s">
        <v>121</v>
      </c>
      <c r="C6" t="s">
        <v>63</v>
      </c>
      <c r="D6" t="s">
        <v>7</v>
      </c>
      <c r="E6">
        <f t="shared" si="0"/>
        <v>2</v>
      </c>
      <c r="F6">
        <f>IF(C6="Individual",'Base Dados Esforço'!$M$8,IF(C6="Copromoção",'Base Dados Esforço'!$M$9,'Base Dados Esforço'!$M$10))</f>
        <v>25.5</v>
      </c>
      <c r="G6">
        <f>IF(C6="Individual",'Base Dados Esforço'!$N$8,IF(C6="Copromoção",'Base Dados Esforço'!$N$9,'Base Dados Esforço'!$N$10))</f>
        <v>106.15</v>
      </c>
      <c r="H6">
        <f t="shared" si="1"/>
        <v>131.65</v>
      </c>
      <c r="I6">
        <f t="shared" ca="1" si="2"/>
        <v>0</v>
      </c>
      <c r="J6" t="str" cm="1">
        <f t="array" aca="1" ref="J6" ca="1">INDEX(Tecnico!$A$2:$A$10,RANDBETWEEN(1,ROWS(Tecnico!$A$2:$A$10)),1)</f>
        <v>Zé 2</v>
      </c>
      <c r="K6" t="str" cm="1">
        <f t="array" aca="1" ref="K6" ca="1">IF(I6=1,INDEX(Tecnico!$A$2:$A$10,RANDBETWEEN(1,ROWS(Tecnico!$A$2:$A$10)),1),"Sem Acompanhamento")</f>
        <v>Sem Acompanhamento</v>
      </c>
    </row>
    <row r="7" spans="1:700" x14ac:dyDescent="0.25">
      <c r="A7">
        <v>6</v>
      </c>
      <c r="B7" t="s">
        <v>122</v>
      </c>
      <c r="C7" t="s">
        <v>63</v>
      </c>
      <c r="D7" t="s">
        <v>7</v>
      </c>
      <c r="E7">
        <f t="shared" si="0"/>
        <v>2</v>
      </c>
      <c r="F7">
        <f>IF(C7="Individual",'Base Dados Esforço'!$M$8,IF(C7="Copromoção",'Base Dados Esforço'!$M$9,'Base Dados Esforço'!$M$10))</f>
        <v>25.5</v>
      </c>
      <c r="G7">
        <f>IF(C7="Individual",'Base Dados Esforço'!$N$8,IF(C7="Copromoção",'Base Dados Esforço'!$N$9,'Base Dados Esforço'!$N$10))</f>
        <v>106.15</v>
      </c>
      <c r="H7">
        <f t="shared" si="1"/>
        <v>131.65</v>
      </c>
      <c r="I7">
        <f t="shared" ca="1" si="2"/>
        <v>1</v>
      </c>
      <c r="J7" t="str" cm="1">
        <f t="array" aca="1" ref="J7" ca="1">INDEX(Tecnico!$A$2:$A$10,RANDBETWEEN(1,ROWS(Tecnico!$A$2:$A$10)),1)</f>
        <v>Zé 9</v>
      </c>
      <c r="K7" t="str" cm="1">
        <f t="array" aca="1" ref="K7" ca="1">IF(I7=1,INDEX(Tecnico!$A$2:$A$10,RANDBETWEEN(1,ROWS(Tecnico!$A$2:$A$10)),1),"Sem Acompanhamento")</f>
        <v>Zé 7</v>
      </c>
    </row>
    <row r="8" spans="1:700" x14ac:dyDescent="0.25">
      <c r="A8">
        <v>7</v>
      </c>
      <c r="B8" t="s">
        <v>123</v>
      </c>
      <c r="C8" t="s">
        <v>29</v>
      </c>
      <c r="D8" t="s">
        <v>7</v>
      </c>
      <c r="E8">
        <f t="shared" si="0"/>
        <v>2</v>
      </c>
      <c r="F8">
        <f>IF(C8="Individual",'Base Dados Esforço'!$M$8,IF(C8="Copromoção",'Base Dados Esforço'!$M$9,'Base Dados Esforço'!$M$10))</f>
        <v>59.5</v>
      </c>
      <c r="G8">
        <f>IF(C8="Individual",'Base Dados Esforço'!$N$8,IF(C8="Copromoção",'Base Dados Esforço'!$N$9,'Base Dados Esforço'!$N$10))</f>
        <v>114.4</v>
      </c>
      <c r="H8">
        <f t="shared" si="1"/>
        <v>173.9</v>
      </c>
      <c r="I8">
        <f t="shared" ca="1" si="2"/>
        <v>1</v>
      </c>
      <c r="J8" t="str" cm="1">
        <f t="array" aca="1" ref="J8" ca="1">INDEX(Tecnico!$A$2:$A$10,RANDBETWEEN(1,ROWS(Tecnico!$A$2:$A$10)),1)</f>
        <v>Zé 5</v>
      </c>
      <c r="K8" t="str" cm="1">
        <f t="array" aca="1" ref="K8" ca="1">IF(I8=1,INDEX(Tecnico!$A$2:$A$10,RANDBETWEEN(1,ROWS(Tecnico!$A$2:$A$10)),1),"Sem Acompanhamento")</f>
        <v>Zé 2</v>
      </c>
    </row>
    <row r="9" spans="1:700" x14ac:dyDescent="0.25">
      <c r="A9">
        <v>8</v>
      </c>
      <c r="B9" t="s">
        <v>124</v>
      </c>
      <c r="C9" t="s">
        <v>29</v>
      </c>
      <c r="D9" t="s">
        <v>6</v>
      </c>
      <c r="E9">
        <f t="shared" si="0"/>
        <v>3</v>
      </c>
      <c r="F9">
        <f>IF(C9="Individual",'Base Dados Esforço'!$M$8,IF(C9="Copromoção",'Base Dados Esforço'!$M$9,'Base Dados Esforço'!$M$10))</f>
        <v>59.5</v>
      </c>
      <c r="G9">
        <f>IF(C9="Individual",'Base Dados Esforço'!$N$8,IF(C9="Copromoção",'Base Dados Esforço'!$N$9,'Base Dados Esforço'!$N$10))</f>
        <v>114.4</v>
      </c>
      <c r="H9">
        <f t="shared" si="1"/>
        <v>173.9</v>
      </c>
      <c r="I9">
        <f t="shared" ca="1" si="2"/>
        <v>1</v>
      </c>
      <c r="J9" t="str" cm="1">
        <f t="array" aca="1" ref="J9" ca="1">INDEX(Tecnico!$A$2:$A$10,RANDBETWEEN(1,ROWS(Tecnico!$A$2:$A$10)),1)</f>
        <v>Zé 1</v>
      </c>
      <c r="K9" t="str" cm="1">
        <f t="array" aca="1" ref="K9" ca="1">IF(I9=1,INDEX(Tecnico!$A$2:$A$10,RANDBETWEEN(1,ROWS(Tecnico!$A$2:$A$10)),1),"Sem Acompanhamento")</f>
        <v>Zé 2</v>
      </c>
    </row>
    <row r="10" spans="1:700" x14ac:dyDescent="0.25">
      <c r="A10">
        <v>9</v>
      </c>
      <c r="B10" t="s">
        <v>125</v>
      </c>
      <c r="C10" t="s">
        <v>29</v>
      </c>
      <c r="D10" t="s">
        <v>5</v>
      </c>
      <c r="E10">
        <f t="shared" si="0"/>
        <v>1</v>
      </c>
      <c r="F10">
        <f>IF(C10="Individual",'Base Dados Esforço'!$M$8,IF(C10="Copromoção",'Base Dados Esforço'!$M$9,'Base Dados Esforço'!$M$10))</f>
        <v>59.5</v>
      </c>
      <c r="G10">
        <f>IF(C10="Individual",'Base Dados Esforço'!$N$8,IF(C10="Copromoção",'Base Dados Esforço'!$N$9,'Base Dados Esforço'!$N$10))</f>
        <v>114.4</v>
      </c>
      <c r="H10">
        <f t="shared" si="1"/>
        <v>173.9</v>
      </c>
      <c r="I10">
        <f t="shared" ca="1" si="2"/>
        <v>1</v>
      </c>
      <c r="J10" t="str" cm="1">
        <f t="array" aca="1" ref="J10" ca="1">INDEX(Tecnico!$A$2:$A$10,RANDBETWEEN(1,ROWS(Tecnico!$A$2:$A$10)),1)</f>
        <v>Zé 5</v>
      </c>
      <c r="K10" t="str" cm="1">
        <f t="array" aca="1" ref="K10" ca="1">IF(I10=1,INDEX(Tecnico!$A$2:$A$10,RANDBETWEEN(1,ROWS(Tecnico!$A$2:$A$10)),1),"Sem Acompanhamento")</f>
        <v>Zé 5</v>
      </c>
    </row>
    <row r="11" spans="1:700" x14ac:dyDescent="0.25">
      <c r="A11">
        <v>10</v>
      </c>
      <c r="B11" t="s">
        <v>126</v>
      </c>
      <c r="C11" t="s">
        <v>29</v>
      </c>
      <c r="D11" t="s">
        <v>7</v>
      </c>
      <c r="E11">
        <f t="shared" si="0"/>
        <v>2</v>
      </c>
      <c r="F11">
        <f>IF(C11="Individual",'Base Dados Esforço'!$M$8,IF(C11="Copromoção",'Base Dados Esforço'!$M$9,'Base Dados Esforço'!$M$10))</f>
        <v>59.5</v>
      </c>
      <c r="G11">
        <f>IF(C11="Individual",'Base Dados Esforço'!$N$8,IF(C11="Copromoção",'Base Dados Esforço'!$N$9,'Base Dados Esforço'!$N$10))</f>
        <v>114.4</v>
      </c>
      <c r="H11">
        <f t="shared" si="1"/>
        <v>173.9</v>
      </c>
      <c r="I11">
        <f t="shared" ca="1" si="2"/>
        <v>1</v>
      </c>
      <c r="J11" t="str" cm="1">
        <f t="array" aca="1" ref="J11" ca="1">INDEX(Tecnico!$A$2:$A$10,RANDBETWEEN(1,ROWS(Tecnico!$A$2:$A$10)),1)</f>
        <v>Zé 6</v>
      </c>
      <c r="K11" t="str" cm="1">
        <f t="array" aca="1" ref="K11" ca="1">IF(I11=1,INDEX(Tecnico!$A$2:$A$10,RANDBETWEEN(1,ROWS(Tecnico!$A$2:$A$10)),1),"Sem Acompanhamento")</f>
        <v>Zé 8</v>
      </c>
    </row>
    <row r="12" spans="1:700" x14ac:dyDescent="0.25">
      <c r="A12">
        <v>11</v>
      </c>
      <c r="B12" t="s">
        <v>127</v>
      </c>
      <c r="C12" t="s">
        <v>28</v>
      </c>
      <c r="D12" t="s">
        <v>7</v>
      </c>
      <c r="E12">
        <f t="shared" si="0"/>
        <v>2</v>
      </c>
      <c r="F12">
        <f>IF(C12="Individual",'Base Dados Esforço'!$M$8,IF(C12="Copromoção",'Base Dados Esforço'!$M$9,'Base Dados Esforço'!$M$10))</f>
        <v>22.75</v>
      </c>
      <c r="G12">
        <f>IF(C12="Individual",'Base Dados Esforço'!$N$8,IF(C12="Copromoção",'Base Dados Esforço'!$N$9,'Base Dados Esforço'!$N$10))</f>
        <v>105.4</v>
      </c>
      <c r="H12">
        <f t="shared" si="1"/>
        <v>128.15</v>
      </c>
      <c r="I12">
        <f t="shared" ca="1" si="2"/>
        <v>1</v>
      </c>
      <c r="J12" t="str" cm="1">
        <f t="array" aca="1" ref="J12" ca="1">INDEX(Tecnico!$A$2:$A$10,RANDBETWEEN(1,ROWS(Tecnico!$A$2:$A$10)),1)</f>
        <v>Zé 6</v>
      </c>
      <c r="K12" t="str" cm="1">
        <f t="array" aca="1" ref="K12" ca="1">IF(I12=1,INDEX(Tecnico!$A$2:$A$10,RANDBETWEEN(1,ROWS(Tecnico!$A$2:$A$10)),1),"Sem Acompanhamento")</f>
        <v>Zé 6</v>
      </c>
    </row>
    <row r="13" spans="1:700" x14ac:dyDescent="0.25">
      <c r="A13">
        <v>12</v>
      </c>
      <c r="B13" t="s">
        <v>128</v>
      </c>
      <c r="C13" t="s">
        <v>28</v>
      </c>
      <c r="D13" t="s">
        <v>5</v>
      </c>
      <c r="E13">
        <f t="shared" si="0"/>
        <v>1</v>
      </c>
      <c r="F13">
        <f>IF(C13="Individual",'Base Dados Esforço'!$M$8,IF(C13="Copromoção",'Base Dados Esforço'!$M$9,'Base Dados Esforço'!$M$10))</f>
        <v>22.75</v>
      </c>
      <c r="G13">
        <f>IF(C13="Individual",'Base Dados Esforço'!$N$8,IF(C13="Copromoção",'Base Dados Esforço'!$N$9,'Base Dados Esforço'!$N$10))</f>
        <v>105.4</v>
      </c>
      <c r="H13">
        <f t="shared" si="1"/>
        <v>128.15</v>
      </c>
      <c r="I13">
        <f t="shared" ca="1" si="2"/>
        <v>0</v>
      </c>
      <c r="J13" t="str" cm="1">
        <f t="array" aca="1" ref="J13" ca="1">INDEX(Tecnico!$A$2:$A$10,RANDBETWEEN(1,ROWS(Tecnico!$A$2:$A$10)),1)</f>
        <v>Zé 5</v>
      </c>
      <c r="K13" t="str" cm="1">
        <f t="array" aca="1" ref="K13" ca="1">IF(I13=1,INDEX(Tecnico!$A$2:$A$10,RANDBETWEEN(1,ROWS(Tecnico!$A$2:$A$10)),1),"Sem Acompanhamento")</f>
        <v>Sem Acompanhamento</v>
      </c>
    </row>
    <row r="14" spans="1:700" x14ac:dyDescent="0.25">
      <c r="A14">
        <v>13</v>
      </c>
      <c r="B14" t="s">
        <v>129</v>
      </c>
      <c r="C14" t="s">
        <v>63</v>
      </c>
      <c r="D14" t="s">
        <v>7</v>
      </c>
      <c r="E14">
        <f t="shared" si="0"/>
        <v>2</v>
      </c>
      <c r="F14">
        <f>IF(C14="Individual",'Base Dados Esforço'!$M$8,IF(C14="Copromoção",'Base Dados Esforço'!$M$9,'Base Dados Esforço'!$M$10))</f>
        <v>25.5</v>
      </c>
      <c r="G14">
        <f>IF(C14="Individual",'Base Dados Esforço'!$N$8,IF(C14="Copromoção",'Base Dados Esforço'!$N$9,'Base Dados Esforço'!$N$10))</f>
        <v>106.15</v>
      </c>
      <c r="H14">
        <f t="shared" si="1"/>
        <v>131.65</v>
      </c>
      <c r="I14">
        <f t="shared" ca="1" si="2"/>
        <v>0</v>
      </c>
      <c r="J14" t="str" cm="1">
        <f t="array" aca="1" ref="J14" ca="1">INDEX(Tecnico!$A$2:$A$10,RANDBETWEEN(1,ROWS(Tecnico!$A$2:$A$10)),1)</f>
        <v>Zé 6</v>
      </c>
      <c r="K14" t="str" cm="1">
        <f t="array" aca="1" ref="K14" ca="1">IF(I14=1,INDEX(Tecnico!$A$2:$A$10,RANDBETWEEN(1,ROWS(Tecnico!$A$2:$A$10)),1),"Sem Acompanhamento")</f>
        <v>Sem Acompanhamento</v>
      </c>
    </row>
    <row r="15" spans="1:700" x14ac:dyDescent="0.25">
      <c r="A15">
        <v>14</v>
      </c>
      <c r="B15" t="s">
        <v>130</v>
      </c>
      <c r="C15" t="s">
        <v>63</v>
      </c>
      <c r="D15" t="s">
        <v>5</v>
      </c>
      <c r="E15">
        <f t="shared" si="0"/>
        <v>1</v>
      </c>
      <c r="F15">
        <f>IF(C15="Individual",'Base Dados Esforço'!$M$8,IF(C15="Copromoção",'Base Dados Esforço'!$M$9,'Base Dados Esforço'!$M$10))</f>
        <v>25.5</v>
      </c>
      <c r="G15">
        <f>IF(C15="Individual",'Base Dados Esforço'!$N$8,IF(C15="Copromoção",'Base Dados Esforço'!$N$9,'Base Dados Esforço'!$N$10))</f>
        <v>106.15</v>
      </c>
      <c r="H15">
        <f t="shared" si="1"/>
        <v>131.65</v>
      </c>
      <c r="I15">
        <f t="shared" ca="1" si="2"/>
        <v>1</v>
      </c>
      <c r="J15" t="str" cm="1">
        <f t="array" aca="1" ref="J15" ca="1">INDEX(Tecnico!$A$2:$A$10,RANDBETWEEN(1,ROWS(Tecnico!$A$2:$A$10)),1)</f>
        <v>Zé 1</v>
      </c>
      <c r="K15" t="str" cm="1">
        <f t="array" aca="1" ref="K15" ca="1">IF(I15=1,INDEX(Tecnico!$A$2:$A$10,RANDBETWEEN(1,ROWS(Tecnico!$A$2:$A$10)),1),"Sem Acompanhamento")</f>
        <v>Zé 3</v>
      </c>
    </row>
    <row r="16" spans="1:700" x14ac:dyDescent="0.25">
      <c r="A16">
        <v>15</v>
      </c>
      <c r="B16" t="s">
        <v>131</v>
      </c>
      <c r="C16" t="s">
        <v>63</v>
      </c>
      <c r="D16" t="s">
        <v>7</v>
      </c>
      <c r="E16">
        <f t="shared" si="0"/>
        <v>2</v>
      </c>
      <c r="F16">
        <f>IF(C16="Individual",'Base Dados Esforço'!$M$8,IF(C16="Copromoção",'Base Dados Esforço'!$M$9,'Base Dados Esforço'!$M$10))</f>
        <v>25.5</v>
      </c>
      <c r="G16">
        <f>IF(C16="Individual",'Base Dados Esforço'!$N$8,IF(C16="Copromoção",'Base Dados Esforço'!$N$9,'Base Dados Esforço'!$N$10))</f>
        <v>106.15</v>
      </c>
      <c r="H16">
        <f t="shared" si="1"/>
        <v>131.65</v>
      </c>
      <c r="I16">
        <f t="shared" ca="1" si="2"/>
        <v>1</v>
      </c>
      <c r="J16" t="str" cm="1">
        <f t="array" aca="1" ref="J16" ca="1">INDEX(Tecnico!$A$2:$A$10,RANDBETWEEN(1,ROWS(Tecnico!$A$2:$A$10)),1)</f>
        <v>Zé 5</v>
      </c>
      <c r="K16" t="str" cm="1">
        <f t="array" aca="1" ref="K16" ca="1">IF(I16=1,INDEX(Tecnico!$A$2:$A$10,RANDBETWEEN(1,ROWS(Tecnico!$A$2:$A$10)),1),"Sem Acompanhamento")</f>
        <v>Zé 8</v>
      </c>
    </row>
    <row r="17" spans="1:11" x14ac:dyDescent="0.25">
      <c r="A17">
        <v>16</v>
      </c>
      <c r="B17" t="s">
        <v>132</v>
      </c>
      <c r="C17" t="s">
        <v>63</v>
      </c>
      <c r="D17" t="s">
        <v>7</v>
      </c>
      <c r="E17">
        <f t="shared" si="0"/>
        <v>2</v>
      </c>
      <c r="F17">
        <f>IF(C17="Individual",'Base Dados Esforço'!$M$8,IF(C17="Copromoção",'Base Dados Esforço'!$M$9,'Base Dados Esforço'!$M$10))</f>
        <v>25.5</v>
      </c>
      <c r="G17">
        <f>IF(C17="Individual",'Base Dados Esforço'!$N$8,IF(C17="Copromoção",'Base Dados Esforço'!$N$9,'Base Dados Esforço'!$N$10))</f>
        <v>106.15</v>
      </c>
      <c r="H17">
        <f t="shared" si="1"/>
        <v>131.65</v>
      </c>
      <c r="I17">
        <f t="shared" ca="1" si="2"/>
        <v>1</v>
      </c>
      <c r="J17" t="str" cm="1">
        <f t="array" aca="1" ref="J17" ca="1">INDEX(Tecnico!$A$2:$A$10,RANDBETWEEN(1,ROWS(Tecnico!$A$2:$A$10)),1)</f>
        <v>Zé 4</v>
      </c>
      <c r="K17" t="str" cm="1">
        <f t="array" aca="1" ref="K17" ca="1">IF(I17=1,INDEX(Tecnico!$A$2:$A$10,RANDBETWEEN(1,ROWS(Tecnico!$A$2:$A$10)),1),"Sem Acompanhamento")</f>
        <v>Zé 9</v>
      </c>
    </row>
    <row r="18" spans="1:11" x14ac:dyDescent="0.25">
      <c r="A18">
        <v>17</v>
      </c>
      <c r="B18" t="s">
        <v>133</v>
      </c>
      <c r="C18" t="s">
        <v>28</v>
      </c>
      <c r="D18" t="s">
        <v>7</v>
      </c>
      <c r="E18">
        <f t="shared" si="0"/>
        <v>2</v>
      </c>
      <c r="F18">
        <f>IF(C18="Individual",'Base Dados Esforço'!$M$8,IF(C18="Copromoção",'Base Dados Esforço'!$M$9,'Base Dados Esforço'!$M$10))</f>
        <v>22.75</v>
      </c>
      <c r="G18">
        <f>IF(C18="Individual",'Base Dados Esforço'!$N$8,IF(C18="Copromoção",'Base Dados Esforço'!$N$9,'Base Dados Esforço'!$N$10))</f>
        <v>105.4</v>
      </c>
      <c r="H18">
        <f t="shared" si="1"/>
        <v>128.15</v>
      </c>
      <c r="I18">
        <f t="shared" ca="1" si="2"/>
        <v>1</v>
      </c>
      <c r="J18" t="str" cm="1">
        <f t="array" aca="1" ref="J18" ca="1">INDEX(Tecnico!$A$2:$A$10,RANDBETWEEN(1,ROWS(Tecnico!$A$2:$A$10)),1)</f>
        <v>Zé 7</v>
      </c>
      <c r="K18" t="str" cm="1">
        <f t="array" aca="1" ref="K18" ca="1">IF(I18=1,INDEX(Tecnico!$A$2:$A$10,RANDBETWEEN(1,ROWS(Tecnico!$A$2:$A$10)),1),"Sem Acompanhamento")</f>
        <v>Zé 9</v>
      </c>
    </row>
    <row r="19" spans="1:11" x14ac:dyDescent="0.25">
      <c r="A19">
        <v>18</v>
      </c>
      <c r="B19" t="s">
        <v>134</v>
      </c>
      <c r="C19" t="s">
        <v>28</v>
      </c>
      <c r="D19" t="s">
        <v>7</v>
      </c>
      <c r="E19">
        <f t="shared" si="0"/>
        <v>2</v>
      </c>
      <c r="F19">
        <f>IF(C19="Individual",'Base Dados Esforço'!$M$8,IF(C19="Copromoção",'Base Dados Esforço'!$M$9,'Base Dados Esforço'!$M$10))</f>
        <v>22.75</v>
      </c>
      <c r="G19">
        <f>IF(C19="Individual",'Base Dados Esforço'!$N$8,IF(C19="Copromoção",'Base Dados Esforço'!$N$9,'Base Dados Esforço'!$N$10))</f>
        <v>105.4</v>
      </c>
      <c r="H19">
        <f t="shared" si="1"/>
        <v>128.15</v>
      </c>
      <c r="I19">
        <f t="shared" ca="1" si="2"/>
        <v>0</v>
      </c>
      <c r="J19" t="str" cm="1">
        <f t="array" aca="1" ref="J19" ca="1">INDEX(Tecnico!$A$2:$A$10,RANDBETWEEN(1,ROWS(Tecnico!$A$2:$A$10)),1)</f>
        <v>Zé 5</v>
      </c>
      <c r="K19" t="str" cm="1">
        <f t="array" aca="1" ref="K19" ca="1">IF(I19=1,INDEX(Tecnico!$A$2:$A$10,RANDBETWEEN(1,ROWS(Tecnico!$A$2:$A$10)),1),"Sem Acompanhamento")</f>
        <v>Sem Acompanhamento</v>
      </c>
    </row>
    <row r="20" spans="1:11" x14ac:dyDescent="0.25">
      <c r="A20">
        <v>19</v>
      </c>
      <c r="B20" t="s">
        <v>135</v>
      </c>
      <c r="C20" t="s">
        <v>29</v>
      </c>
      <c r="D20" t="s">
        <v>5</v>
      </c>
      <c r="E20">
        <f t="shared" si="0"/>
        <v>1</v>
      </c>
      <c r="F20">
        <f>IF(C20="Individual",'Base Dados Esforço'!$M$8,IF(C20="Copromoção",'Base Dados Esforço'!$M$9,'Base Dados Esforço'!$M$10))</f>
        <v>59.5</v>
      </c>
      <c r="G20">
        <f>IF(C20="Individual",'Base Dados Esforço'!$N$8,IF(C20="Copromoção",'Base Dados Esforço'!$N$9,'Base Dados Esforço'!$N$10))</f>
        <v>114.4</v>
      </c>
      <c r="H20">
        <f t="shared" si="1"/>
        <v>173.9</v>
      </c>
      <c r="I20">
        <f t="shared" ca="1" si="2"/>
        <v>1</v>
      </c>
      <c r="J20" t="str" cm="1">
        <f t="array" aca="1" ref="J20" ca="1">INDEX(Tecnico!$A$2:$A$10,RANDBETWEEN(1,ROWS(Tecnico!$A$2:$A$10)),1)</f>
        <v>Zé 9</v>
      </c>
      <c r="K20" t="str" cm="1">
        <f t="array" aca="1" ref="K20" ca="1">IF(I20=1,INDEX(Tecnico!$A$2:$A$10,RANDBETWEEN(1,ROWS(Tecnico!$A$2:$A$10)),1),"Sem Acompanhamento")</f>
        <v>Zé 6</v>
      </c>
    </row>
    <row r="21" spans="1:11" x14ac:dyDescent="0.25">
      <c r="A21">
        <v>20</v>
      </c>
      <c r="B21" t="s">
        <v>136</v>
      </c>
      <c r="C21" t="s">
        <v>29</v>
      </c>
      <c r="D21" t="s">
        <v>6</v>
      </c>
      <c r="E21">
        <f t="shared" si="0"/>
        <v>3</v>
      </c>
      <c r="F21">
        <f>IF(C21="Individual",'Base Dados Esforço'!$M$8,IF(C21="Copromoção",'Base Dados Esforço'!$M$9,'Base Dados Esforço'!$M$10))</f>
        <v>59.5</v>
      </c>
      <c r="G21">
        <f>IF(C21="Individual",'Base Dados Esforço'!$N$8,IF(C21="Copromoção",'Base Dados Esforço'!$N$9,'Base Dados Esforço'!$N$10))</f>
        <v>114.4</v>
      </c>
      <c r="H21">
        <f t="shared" si="1"/>
        <v>173.9</v>
      </c>
      <c r="I21">
        <f t="shared" ca="1" si="2"/>
        <v>1</v>
      </c>
      <c r="J21" t="str" cm="1">
        <f t="array" aca="1" ref="J21" ca="1">INDEX(Tecnico!$A$2:$A$10,RANDBETWEEN(1,ROWS(Tecnico!$A$2:$A$10)),1)</f>
        <v>Zé 3</v>
      </c>
      <c r="K21" t="str" cm="1">
        <f t="array" aca="1" ref="K21" ca="1">IF(I21=1,INDEX(Tecnico!$A$2:$A$10,RANDBETWEEN(1,ROWS(Tecnico!$A$2:$A$10)),1),"Sem Acompanhamento")</f>
        <v>Zé 3</v>
      </c>
    </row>
  </sheetData>
  <dataConsolidate/>
  <phoneticPr fontId="4" type="noConversion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31BE83-C15A-46A3-933E-015211FC3AED}">
          <x14:formula1>
            <xm:f>'Base Dados Esforço'!$L$8:$L$10</xm:f>
          </x14:formula1>
          <xm:sqref>C2:C21</xm:sqref>
        </x14:dataValidation>
        <x14:dataValidation type="list" allowBlank="1" showInputMessage="1" showErrorMessage="1" xr:uid="{382401E6-469A-45D7-8EA7-1FA32C4B9C14}">
          <x14:formula1>
            <xm:f>Tecnico!$D$1:$F$1</xm:f>
          </x14:formula1>
          <xm:sqref>D2:D21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6F5B8-F311-4B7A-9533-9E998BD4D80B}">
  <dimension ref="B2:Q58"/>
  <sheetViews>
    <sheetView zoomScale="115" zoomScaleNormal="115" workbookViewId="0">
      <selection activeCell="I23" sqref="I23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2.140625" bestFit="1" customWidth="1"/>
    <col min="13" max="13" width="14.5703125" bestFit="1" customWidth="1"/>
    <col min="14" max="14" width="24.5703125" bestFit="1" customWidth="1"/>
  </cols>
  <sheetData>
    <row r="2" spans="2:17" x14ac:dyDescent="0.25">
      <c r="B2" s="15"/>
      <c r="C2" s="15"/>
      <c r="D2" s="15"/>
      <c r="E2" s="15"/>
      <c r="F2" s="15"/>
      <c r="G2" s="15"/>
    </row>
    <row r="3" spans="2:17" x14ac:dyDescent="0.25">
      <c r="B3" s="13" t="s">
        <v>56</v>
      </c>
      <c r="C3" s="13" t="s">
        <v>44</v>
      </c>
      <c r="D3" s="1"/>
      <c r="E3" s="1" t="s">
        <v>54</v>
      </c>
      <c r="F3" s="1" t="s">
        <v>45</v>
      </c>
      <c r="G3" s="1" t="s">
        <v>55</v>
      </c>
    </row>
    <row r="4" spans="2:17" x14ac:dyDescent="0.25">
      <c r="B4" s="13"/>
      <c r="C4" s="13"/>
      <c r="D4" s="1"/>
      <c r="E4" s="1" t="s">
        <v>46</v>
      </c>
      <c r="F4" s="1" t="s">
        <v>47</v>
      </c>
      <c r="G4" s="1" t="s">
        <v>48</v>
      </c>
    </row>
    <row r="5" spans="2:17" x14ac:dyDescent="0.25">
      <c r="B5" s="12" t="s">
        <v>24</v>
      </c>
      <c r="C5" s="12"/>
      <c r="D5" s="12"/>
      <c r="E5" s="12"/>
      <c r="F5" s="12"/>
      <c r="G5" s="12"/>
      <c r="K5" t="s">
        <v>100</v>
      </c>
      <c r="L5">
        <v>5</v>
      </c>
    </row>
    <row r="6" spans="2:17" ht="30" customHeight="1" x14ac:dyDescent="0.25">
      <c r="B6" s="3" t="s">
        <v>25</v>
      </c>
      <c r="C6" s="17" t="s">
        <v>57</v>
      </c>
      <c r="D6" s="17"/>
      <c r="E6" s="1">
        <v>0.25</v>
      </c>
      <c r="F6" s="1">
        <v>3.25</v>
      </c>
      <c r="G6" s="1">
        <v>8</v>
      </c>
    </row>
    <row r="7" spans="2:17" x14ac:dyDescent="0.25">
      <c r="B7" s="13" t="s">
        <v>26</v>
      </c>
      <c r="C7" s="13" t="s">
        <v>27</v>
      </c>
      <c r="D7" s="1" t="s">
        <v>28</v>
      </c>
      <c r="E7" s="1">
        <v>0.2</v>
      </c>
      <c r="F7" s="1">
        <v>2</v>
      </c>
      <c r="G7" s="1">
        <v>40</v>
      </c>
      <c r="K7" t="s">
        <v>99</v>
      </c>
      <c r="M7" t="s">
        <v>110</v>
      </c>
      <c r="N7" t="s">
        <v>111</v>
      </c>
      <c r="O7" t="s">
        <v>112</v>
      </c>
    </row>
    <row r="8" spans="2:17" x14ac:dyDescent="0.25">
      <c r="B8" s="13"/>
      <c r="C8" s="13"/>
      <c r="D8" s="1" t="s">
        <v>63</v>
      </c>
      <c r="E8" s="1">
        <v>1</v>
      </c>
      <c r="F8" s="1">
        <v>2.5</v>
      </c>
      <c r="G8" s="1">
        <v>37.5</v>
      </c>
      <c r="L8" t="s">
        <v>28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13"/>
      <c r="C9" s="13"/>
      <c r="D9" s="1" t="s">
        <v>29</v>
      </c>
      <c r="E9" s="1">
        <v>2</v>
      </c>
      <c r="F9" s="1">
        <v>22.5</v>
      </c>
      <c r="G9" s="1">
        <v>37.5</v>
      </c>
      <c r="L9" t="s">
        <v>63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7" t="s">
        <v>58</v>
      </c>
      <c r="C10" s="7"/>
      <c r="D10" s="7"/>
      <c r="E10" s="7"/>
      <c r="F10" s="7"/>
      <c r="G10" s="7"/>
      <c r="L10" t="s">
        <v>29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ht="15" customHeight="1" x14ac:dyDescent="0.25">
      <c r="B11" s="1" t="s">
        <v>30</v>
      </c>
      <c r="C11" s="16" t="s">
        <v>59</v>
      </c>
      <c r="D11" s="16"/>
      <c r="E11" s="1">
        <v>0.5</v>
      </c>
      <c r="F11" s="1">
        <v>0.75</v>
      </c>
      <c r="G11" s="1">
        <v>1.25</v>
      </c>
    </row>
    <row r="12" spans="2:17" x14ac:dyDescent="0.25">
      <c r="B12" s="1" t="s">
        <v>31</v>
      </c>
      <c r="C12" s="7" t="s">
        <v>60</v>
      </c>
      <c r="D12" s="7"/>
      <c r="E12" s="1">
        <v>0</v>
      </c>
      <c r="F12" s="1">
        <v>0.5</v>
      </c>
      <c r="G12" s="1">
        <v>1.5</v>
      </c>
    </row>
    <row r="13" spans="2:17" x14ac:dyDescent="0.25">
      <c r="B13" s="1" t="s">
        <v>32</v>
      </c>
      <c r="C13" s="7" t="s">
        <v>33</v>
      </c>
      <c r="D13" s="7"/>
      <c r="E13" s="1">
        <v>0.75</v>
      </c>
      <c r="F13" s="1">
        <v>1</v>
      </c>
      <c r="G13" s="1">
        <v>1.5</v>
      </c>
    </row>
    <row r="14" spans="2:17" x14ac:dyDescent="0.25">
      <c r="B14" s="7" t="s">
        <v>24</v>
      </c>
      <c r="C14" s="7"/>
      <c r="D14" s="7"/>
      <c r="E14" s="7"/>
      <c r="F14" s="7"/>
      <c r="G14" s="7"/>
    </row>
    <row r="15" spans="2:17" x14ac:dyDescent="0.25">
      <c r="B15" s="14" t="s">
        <v>34</v>
      </c>
      <c r="C15" s="18" t="s">
        <v>61</v>
      </c>
      <c r="D15" s="1" t="s">
        <v>28</v>
      </c>
      <c r="E15">
        <v>1</v>
      </c>
      <c r="F15">
        <v>3</v>
      </c>
      <c r="G15">
        <v>30</v>
      </c>
      <c r="H15" t="s">
        <v>142</v>
      </c>
    </row>
    <row r="16" spans="2:17" x14ac:dyDescent="0.25">
      <c r="B16" s="11"/>
      <c r="C16" s="19"/>
      <c r="D16" s="1" t="s">
        <v>63</v>
      </c>
      <c r="E16">
        <v>1.5</v>
      </c>
      <c r="F16">
        <v>4</v>
      </c>
      <c r="G16">
        <v>35</v>
      </c>
    </row>
    <row r="17" spans="2:12" x14ac:dyDescent="0.25">
      <c r="B17" s="11"/>
      <c r="C17" s="19"/>
      <c r="D17" s="1" t="s">
        <v>29</v>
      </c>
      <c r="E17">
        <v>2</v>
      </c>
      <c r="F17">
        <v>5</v>
      </c>
      <c r="G17">
        <v>75</v>
      </c>
    </row>
    <row r="18" spans="2:12" x14ac:dyDescent="0.25">
      <c r="B18" s="11" t="s">
        <v>35</v>
      </c>
      <c r="C18" s="19" t="s">
        <v>144</v>
      </c>
      <c r="D18" s="1" t="s">
        <v>28</v>
      </c>
      <c r="E18">
        <v>3</v>
      </c>
      <c r="F18">
        <v>5.75</v>
      </c>
      <c r="G18">
        <v>14</v>
      </c>
      <c r="H18" t="s">
        <v>143</v>
      </c>
      <c r="L18" t="s">
        <v>113</v>
      </c>
    </row>
    <row r="19" spans="2:12" x14ac:dyDescent="0.25">
      <c r="B19" s="11"/>
      <c r="C19" s="19"/>
      <c r="D19" s="1" t="s">
        <v>63</v>
      </c>
      <c r="E19">
        <v>4</v>
      </c>
      <c r="F19">
        <v>6.5</v>
      </c>
      <c r="G19">
        <v>14</v>
      </c>
    </row>
    <row r="20" spans="2:12" x14ac:dyDescent="0.25">
      <c r="B20" s="11"/>
      <c r="C20" s="19"/>
      <c r="D20" s="1" t="s">
        <v>29</v>
      </c>
      <c r="E20">
        <v>8</v>
      </c>
      <c r="F20">
        <v>13</v>
      </c>
      <c r="G20">
        <v>21</v>
      </c>
    </row>
    <row r="21" spans="2:12" x14ac:dyDescent="0.25">
      <c r="B21" s="11" t="s">
        <v>36</v>
      </c>
      <c r="C21" s="19" t="s">
        <v>62</v>
      </c>
      <c r="D21" s="1" t="s">
        <v>28</v>
      </c>
      <c r="E21">
        <v>3.5</v>
      </c>
      <c r="F21">
        <v>6.5</v>
      </c>
      <c r="G21">
        <v>14</v>
      </c>
      <c r="H21" t="s">
        <v>143</v>
      </c>
    </row>
    <row r="22" spans="2:12" x14ac:dyDescent="0.25">
      <c r="B22" s="11"/>
      <c r="C22" s="19"/>
      <c r="D22" s="1" t="s">
        <v>63</v>
      </c>
      <c r="E22">
        <v>4</v>
      </c>
      <c r="F22">
        <v>7</v>
      </c>
      <c r="G22">
        <v>14</v>
      </c>
    </row>
    <row r="23" spans="2:12" x14ac:dyDescent="0.25">
      <c r="B23" s="11"/>
      <c r="C23" s="19"/>
      <c r="D23" s="1" t="s">
        <v>29</v>
      </c>
      <c r="E23">
        <v>10</v>
      </c>
      <c r="F23">
        <v>13.5</v>
      </c>
      <c r="G23">
        <v>21</v>
      </c>
    </row>
    <row r="25" spans="2:12" x14ac:dyDescent="0.25">
      <c r="B25" s="12" t="s">
        <v>37</v>
      </c>
      <c r="C25" s="12"/>
      <c r="D25" s="12"/>
      <c r="E25" s="12"/>
      <c r="F25" s="12"/>
      <c r="G25" s="12"/>
    </row>
    <row r="26" spans="2:12" x14ac:dyDescent="0.25">
      <c r="B26" s="13" t="s">
        <v>56</v>
      </c>
      <c r="C26" s="13" t="s">
        <v>44</v>
      </c>
      <c r="D26" s="1"/>
      <c r="E26" s="1" t="s">
        <v>54</v>
      </c>
      <c r="F26" s="1" t="s">
        <v>45</v>
      </c>
      <c r="G26" s="1" t="s">
        <v>55</v>
      </c>
    </row>
    <row r="27" spans="2:12" x14ac:dyDescent="0.25">
      <c r="B27" s="13"/>
      <c r="C27" s="13"/>
      <c r="D27" s="1"/>
      <c r="E27" s="1" t="s">
        <v>46</v>
      </c>
      <c r="F27" s="1" t="s">
        <v>47</v>
      </c>
      <c r="G27" s="1" t="s">
        <v>48</v>
      </c>
    </row>
    <row r="28" spans="2:12" x14ac:dyDescent="0.25">
      <c r="B28" s="14" t="s">
        <v>38</v>
      </c>
      <c r="C28" s="14" t="s">
        <v>64</v>
      </c>
      <c r="D28" t="s">
        <v>65</v>
      </c>
      <c r="E28">
        <v>1</v>
      </c>
      <c r="F28">
        <v>8</v>
      </c>
      <c r="G28">
        <v>40</v>
      </c>
    </row>
    <row r="29" spans="2:12" x14ac:dyDescent="0.25">
      <c r="B29" s="11"/>
      <c r="C29" s="11"/>
      <c r="D29" t="s">
        <v>66</v>
      </c>
      <c r="E29">
        <v>1</v>
      </c>
      <c r="F29">
        <v>8</v>
      </c>
      <c r="G29">
        <v>40</v>
      </c>
    </row>
    <row r="30" spans="2:12" x14ac:dyDescent="0.25">
      <c r="B30" t="s">
        <v>39</v>
      </c>
      <c r="C30" t="s">
        <v>67</v>
      </c>
    </row>
    <row r="31" spans="2:12" x14ac:dyDescent="0.25">
      <c r="B31" t="s">
        <v>40</v>
      </c>
      <c r="C31" t="s">
        <v>68</v>
      </c>
      <c r="E31">
        <v>0.1</v>
      </c>
      <c r="F31">
        <v>0.15</v>
      </c>
      <c r="G31">
        <v>0.3</v>
      </c>
    </row>
    <row r="32" spans="2:12" x14ac:dyDescent="0.25">
      <c r="B32" t="s">
        <v>41</v>
      </c>
      <c r="C32" t="s">
        <v>42</v>
      </c>
    </row>
    <row r="33" spans="2:7" x14ac:dyDescent="0.25">
      <c r="B33" s="10" t="s">
        <v>43</v>
      </c>
      <c r="C33" s="10"/>
      <c r="D33" s="10"/>
      <c r="E33" s="10"/>
      <c r="F33" s="10"/>
      <c r="G33" s="10"/>
    </row>
    <row r="34" spans="2:7" x14ac:dyDescent="0.25">
      <c r="B34" t="s">
        <v>69</v>
      </c>
      <c r="C34" t="s">
        <v>70</v>
      </c>
      <c r="E34">
        <v>0.5</v>
      </c>
      <c r="F34">
        <v>8</v>
      </c>
      <c r="G34">
        <v>40</v>
      </c>
    </row>
    <row r="35" spans="2:7" x14ac:dyDescent="0.25">
      <c r="B35" s="11" t="s">
        <v>49</v>
      </c>
      <c r="C35" s="11" t="s">
        <v>71</v>
      </c>
      <c r="D35" t="s">
        <v>50</v>
      </c>
      <c r="E35">
        <v>0.5</v>
      </c>
      <c r="F35">
        <v>3</v>
      </c>
      <c r="G35">
        <v>9</v>
      </c>
    </row>
    <row r="36" spans="2:7" x14ac:dyDescent="0.25">
      <c r="B36" s="11"/>
      <c r="C36" s="11"/>
      <c r="D36" t="s">
        <v>51</v>
      </c>
      <c r="E36">
        <v>3</v>
      </c>
      <c r="F36">
        <v>8</v>
      </c>
      <c r="G36">
        <v>24</v>
      </c>
    </row>
    <row r="37" spans="2:7" x14ac:dyDescent="0.25">
      <c r="B37" t="s">
        <v>52</v>
      </c>
      <c r="C37" t="s">
        <v>53</v>
      </c>
      <c r="E37">
        <v>3</v>
      </c>
      <c r="F37">
        <v>8</v>
      </c>
      <c r="G37">
        <v>24</v>
      </c>
    </row>
    <row r="38" spans="2:7" x14ac:dyDescent="0.25">
      <c r="B38" t="s">
        <v>73</v>
      </c>
      <c r="C38" t="s">
        <v>72</v>
      </c>
      <c r="E38">
        <v>0.5</v>
      </c>
      <c r="F38">
        <v>4</v>
      </c>
      <c r="G38">
        <v>16</v>
      </c>
    </row>
    <row r="39" spans="2:7" x14ac:dyDescent="0.25">
      <c r="B39" s="10" t="s">
        <v>75</v>
      </c>
      <c r="C39" s="10"/>
      <c r="D39" s="10"/>
      <c r="E39" s="10"/>
      <c r="F39" s="10"/>
      <c r="G39" s="10"/>
    </row>
    <row r="40" spans="2:7" x14ac:dyDescent="0.25">
      <c r="B40" s="10" t="s">
        <v>79</v>
      </c>
      <c r="C40" s="11" t="s">
        <v>76</v>
      </c>
      <c r="D40" t="s">
        <v>77</v>
      </c>
      <c r="E40">
        <v>0.5</v>
      </c>
      <c r="F40">
        <v>2</v>
      </c>
      <c r="G40">
        <v>7.5</v>
      </c>
    </row>
    <row r="41" spans="2:7" x14ac:dyDescent="0.25">
      <c r="B41" s="10"/>
      <c r="C41" s="11"/>
      <c r="D41" t="s">
        <v>78</v>
      </c>
      <c r="E41">
        <v>0.5</v>
      </c>
      <c r="F41">
        <v>4</v>
      </c>
      <c r="G41">
        <v>15</v>
      </c>
    </row>
    <row r="42" spans="2:7" x14ac:dyDescent="0.25">
      <c r="B42" t="s">
        <v>80</v>
      </c>
      <c r="C42" t="s">
        <v>81</v>
      </c>
      <c r="E42">
        <v>0.17</v>
      </c>
      <c r="F42">
        <v>2</v>
      </c>
      <c r="G42">
        <v>16</v>
      </c>
    </row>
    <row r="43" spans="2:7" x14ac:dyDescent="0.25">
      <c r="C43" t="s">
        <v>67</v>
      </c>
    </row>
    <row r="44" spans="2:7" x14ac:dyDescent="0.25">
      <c r="B44" s="10" t="s">
        <v>82</v>
      </c>
      <c r="C44" s="11" t="s">
        <v>76</v>
      </c>
      <c r="D44" t="s">
        <v>77</v>
      </c>
      <c r="E44">
        <v>0.5</v>
      </c>
      <c r="F44">
        <v>2</v>
      </c>
      <c r="G44">
        <v>7.5</v>
      </c>
    </row>
    <row r="45" spans="2:7" x14ac:dyDescent="0.25">
      <c r="B45" s="10"/>
      <c r="C45" s="11"/>
      <c r="D45" t="s">
        <v>78</v>
      </c>
      <c r="E45">
        <v>0.5</v>
      </c>
      <c r="F45">
        <v>4</v>
      </c>
      <c r="G45">
        <v>15</v>
      </c>
    </row>
    <row r="46" spans="2:7" x14ac:dyDescent="0.25">
      <c r="B46" s="10" t="s">
        <v>88</v>
      </c>
      <c r="C46" s="10"/>
      <c r="D46" s="10"/>
      <c r="E46" s="10"/>
      <c r="F46" s="10"/>
      <c r="G46" s="10"/>
    </row>
    <row r="47" spans="2:7" x14ac:dyDescent="0.25">
      <c r="B47" t="s">
        <v>83</v>
      </c>
      <c r="C47" t="s">
        <v>87</v>
      </c>
      <c r="E47">
        <v>0.5</v>
      </c>
      <c r="F47">
        <v>8</v>
      </c>
      <c r="G47">
        <v>40</v>
      </c>
    </row>
    <row r="48" spans="2:7" x14ac:dyDescent="0.25">
      <c r="B48" s="10" t="s">
        <v>84</v>
      </c>
      <c r="C48" s="10"/>
      <c r="D48" s="10"/>
      <c r="E48" s="10"/>
      <c r="F48" s="10"/>
      <c r="G48" s="10"/>
    </row>
    <row r="49" spans="2:7" x14ac:dyDescent="0.25">
      <c r="B49" t="s">
        <v>85</v>
      </c>
      <c r="C49" t="s">
        <v>86</v>
      </c>
      <c r="E49">
        <v>0.5</v>
      </c>
      <c r="F49">
        <v>0.75</v>
      </c>
      <c r="G49">
        <v>1.25</v>
      </c>
    </row>
    <row r="50" spans="2:7" x14ac:dyDescent="0.25">
      <c r="B50" t="s">
        <v>89</v>
      </c>
      <c r="C50" t="s">
        <v>88</v>
      </c>
      <c r="E50">
        <v>3</v>
      </c>
      <c r="F50">
        <v>8</v>
      </c>
      <c r="G50">
        <v>24</v>
      </c>
    </row>
    <row r="51" spans="2:7" x14ac:dyDescent="0.25">
      <c r="B51" t="s">
        <v>90</v>
      </c>
      <c r="C51" t="s">
        <v>72</v>
      </c>
    </row>
    <row r="52" spans="2:7" x14ac:dyDescent="0.25">
      <c r="B52" t="s">
        <v>91</v>
      </c>
      <c r="C52" t="s">
        <v>92</v>
      </c>
      <c r="E52">
        <v>0.75</v>
      </c>
      <c r="F52">
        <v>1</v>
      </c>
      <c r="G52">
        <v>1.5</v>
      </c>
    </row>
    <row r="53" spans="2:7" x14ac:dyDescent="0.25">
      <c r="B53" s="10" t="s">
        <v>93</v>
      </c>
      <c r="C53" s="10"/>
      <c r="D53" s="10"/>
      <c r="E53" s="10"/>
      <c r="F53" s="10"/>
      <c r="G53" s="10"/>
    </row>
    <row r="54" spans="2:7" x14ac:dyDescent="0.25">
      <c r="B54" t="s">
        <v>94</v>
      </c>
      <c r="C54" t="s">
        <v>95</v>
      </c>
      <c r="E54">
        <v>0.75</v>
      </c>
      <c r="F54">
        <v>1</v>
      </c>
      <c r="G54">
        <v>1.5</v>
      </c>
    </row>
    <row r="55" spans="2:7" x14ac:dyDescent="0.25">
      <c r="B55" t="s">
        <v>97</v>
      </c>
      <c r="C55" s="11" t="s">
        <v>96</v>
      </c>
      <c r="D55" t="s">
        <v>28</v>
      </c>
      <c r="E55">
        <v>2</v>
      </c>
      <c r="F55">
        <v>3</v>
      </c>
      <c r="G55">
        <v>6</v>
      </c>
    </row>
    <row r="56" spans="2:7" x14ac:dyDescent="0.25">
      <c r="C56" s="11"/>
      <c r="D56" t="s">
        <v>63</v>
      </c>
      <c r="E56">
        <v>2.5</v>
      </c>
      <c r="F56">
        <v>3.75</v>
      </c>
      <c r="G56">
        <v>8</v>
      </c>
    </row>
    <row r="57" spans="2:7" x14ac:dyDescent="0.25">
      <c r="C57" s="11"/>
      <c r="D57" t="s">
        <v>29</v>
      </c>
      <c r="E57">
        <v>8</v>
      </c>
      <c r="F57">
        <v>12</v>
      </c>
      <c r="G57">
        <v>24</v>
      </c>
    </row>
    <row r="58" spans="2:7" x14ac:dyDescent="0.25">
      <c r="C58" t="s">
        <v>98</v>
      </c>
      <c r="E58">
        <v>0.25</v>
      </c>
      <c r="F58">
        <v>2</v>
      </c>
      <c r="G58">
        <v>40</v>
      </c>
    </row>
  </sheetData>
  <mergeCells count="35">
    <mergeCell ref="B46:G46"/>
    <mergeCell ref="B48:G48"/>
    <mergeCell ref="B53:G53"/>
    <mergeCell ref="C55:C57"/>
    <mergeCell ref="B39:G39"/>
    <mergeCell ref="C40:C41"/>
    <mergeCell ref="B40:B41"/>
    <mergeCell ref="C44:C45"/>
    <mergeCell ref="B44:B45"/>
    <mergeCell ref="B14:G14"/>
    <mergeCell ref="B15:B17"/>
    <mergeCell ref="B18:B20"/>
    <mergeCell ref="B21:B23"/>
    <mergeCell ref="C15:C17"/>
    <mergeCell ref="C18:C20"/>
    <mergeCell ref="C21:C23"/>
    <mergeCell ref="B2:G2"/>
    <mergeCell ref="C11:D11"/>
    <mergeCell ref="C12:D12"/>
    <mergeCell ref="B10:G10"/>
    <mergeCell ref="C13:D13"/>
    <mergeCell ref="C7:C9"/>
    <mergeCell ref="B5:G5"/>
    <mergeCell ref="B7:B9"/>
    <mergeCell ref="C3:C4"/>
    <mergeCell ref="B3:B4"/>
    <mergeCell ref="C6:D6"/>
    <mergeCell ref="B33:G33"/>
    <mergeCell ref="C35:C36"/>
    <mergeCell ref="B35:B36"/>
    <mergeCell ref="B25:G25"/>
    <mergeCell ref="B26:B27"/>
    <mergeCell ref="C26:C27"/>
    <mergeCell ref="B28:B29"/>
    <mergeCell ref="C28:C29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Compatibilidade</vt:lpstr>
      <vt:lpstr>Tecnico</vt:lpstr>
      <vt:lpstr>Projetos</vt:lpstr>
      <vt:lpstr>Base Dados Esforço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Renan Zocca</cp:lastModifiedBy>
  <dcterms:created xsi:type="dcterms:W3CDTF">2015-06-05T18:17:20Z</dcterms:created>
  <dcterms:modified xsi:type="dcterms:W3CDTF">2023-11-16T12:08:23Z</dcterms:modified>
</cp:coreProperties>
</file>