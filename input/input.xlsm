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2878A0EF-7CC6-4AAC-B1D9-50906125DB6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D6" i="5"/>
  <c r="L15" i="5"/>
  <c r="C6" i="1" a="1"/>
  <c r="C6" i="1" s="1"/>
  <c r="D15" i="5"/>
  <c r="E15" i="5"/>
  <c r="F15" i="5"/>
  <c r="G15" i="5"/>
  <c r="H15" i="5"/>
  <c r="I15" i="5"/>
  <c r="J15" i="5"/>
  <c r="K15" i="5"/>
  <c r="D14" i="5"/>
  <c r="E14" i="5"/>
  <c r="F14" i="5"/>
  <c r="G14" i="5"/>
  <c r="H14" i="5"/>
  <c r="I14" i="5"/>
  <c r="J14" i="5"/>
  <c r="K14" i="5"/>
  <c r="L14" i="5"/>
  <c r="D13" i="5"/>
  <c r="E13" i="5"/>
  <c r="F13" i="5"/>
  <c r="G13" i="5"/>
  <c r="H13" i="5"/>
  <c r="I13" i="5"/>
  <c r="J13" i="5"/>
  <c r="K13" i="5"/>
  <c r="L13" i="5"/>
  <c r="D12" i="5"/>
  <c r="E12" i="5"/>
  <c r="F12" i="5"/>
  <c r="G12" i="5"/>
  <c r="H12" i="5"/>
  <c r="I12" i="5"/>
  <c r="J12" i="5"/>
  <c r="K12" i="5"/>
  <c r="L12" i="5"/>
  <c r="D11" i="5"/>
  <c r="E11" i="5"/>
  <c r="F11" i="5"/>
  <c r="G11" i="5"/>
  <c r="H11" i="5"/>
  <c r="I11" i="5"/>
  <c r="J11" i="5"/>
  <c r="K11" i="5"/>
  <c r="L11" i="5"/>
  <c r="D10" i="5"/>
  <c r="E10" i="5"/>
  <c r="F10" i="5"/>
  <c r="G10" i="5"/>
  <c r="H10" i="5"/>
  <c r="I10" i="5"/>
  <c r="J10" i="5"/>
  <c r="K10" i="5"/>
  <c r="L10" i="5"/>
  <c r="D9" i="5"/>
  <c r="E9" i="5"/>
  <c r="F9" i="5"/>
  <c r="G9" i="5"/>
  <c r="H9" i="5"/>
  <c r="I9" i="5"/>
  <c r="J9" i="5"/>
  <c r="K9" i="5"/>
  <c r="L9" i="5"/>
  <c r="D8" i="5"/>
  <c r="E8" i="5"/>
  <c r="F8" i="5"/>
  <c r="G8" i="5"/>
  <c r="H8" i="5"/>
  <c r="I8" i="5"/>
  <c r="J8" i="5"/>
  <c r="K8" i="5"/>
  <c r="L8" i="5"/>
  <c r="D7" i="5"/>
  <c r="E7" i="5"/>
  <c r="F7" i="5"/>
  <c r="G7" i="5"/>
  <c r="H7" i="5"/>
  <c r="I7" i="5"/>
  <c r="J7" i="5"/>
  <c r="K7" i="5"/>
  <c r="L7" i="5"/>
  <c r="C15" i="5"/>
  <c r="C14" i="5"/>
  <c r="C13" i="5"/>
  <c r="C12" i="5"/>
  <c r="C11" i="5"/>
  <c r="C10" i="5"/>
  <c r="C9" i="5"/>
  <c r="C8" i="5"/>
  <c r="C7" i="5"/>
  <c r="D11" i="1" a="1"/>
  <c r="D11" i="1"/>
  <c r="E11" i="1" a="1"/>
  <c r="E11" i="1" s="1"/>
  <c r="F11" i="1" a="1"/>
  <c r="F11" i="1"/>
  <c r="G11" i="1" a="1"/>
  <c r="G11" i="1"/>
  <c r="H11" i="1" a="1"/>
  <c r="H11" i="1"/>
  <c r="I11" i="1" a="1"/>
  <c r="I11" i="1"/>
  <c r="J11" i="1" a="1"/>
  <c r="J11" i="1"/>
  <c r="K11" i="1" a="1"/>
  <c r="K11" i="1"/>
  <c r="L11" i="1" a="1"/>
  <c r="L11" i="1" s="1"/>
  <c r="D10" i="1" a="1"/>
  <c r="D10" i="1" s="1"/>
  <c r="E10" i="1" a="1"/>
  <c r="E10" i="1" s="1"/>
  <c r="F10" i="1" a="1"/>
  <c r="F10" i="1"/>
  <c r="G10" i="1" a="1"/>
  <c r="G10" i="1"/>
  <c r="H10" i="1" a="1"/>
  <c r="H10" i="1"/>
  <c r="I10" i="1" a="1"/>
  <c r="I10" i="1"/>
  <c r="J10" i="1" a="1"/>
  <c r="J10" i="1"/>
  <c r="K10" i="1" a="1"/>
  <c r="K10" i="1"/>
  <c r="L10" i="1" a="1"/>
  <c r="L10" i="1" s="1"/>
  <c r="C10" i="1" a="1"/>
  <c r="C10" i="1" s="1"/>
  <c r="D15" i="1" a="1"/>
  <c r="D15" i="1" s="1"/>
  <c r="E15" i="1" a="1"/>
  <c r="E15" i="1"/>
  <c r="F15" i="1" a="1"/>
  <c r="F15" i="1"/>
  <c r="G15" i="1" a="1"/>
  <c r="G15" i="1"/>
  <c r="H15" i="1" a="1"/>
  <c r="H15" i="1"/>
  <c r="I15" i="1" a="1"/>
  <c r="I15" i="1"/>
  <c r="J15" i="1" a="1"/>
  <c r="J15" i="1"/>
  <c r="K15" i="1" a="1"/>
  <c r="K15" i="1"/>
  <c r="L15" i="1" a="1"/>
  <c r="L15" i="1" s="1"/>
  <c r="D14" i="1" a="1"/>
  <c r="D14" i="1" s="1"/>
  <c r="E14" i="1" a="1"/>
  <c r="E14" i="1"/>
  <c r="F14" i="1" a="1"/>
  <c r="F14" i="1"/>
  <c r="G14" i="1" a="1"/>
  <c r="G14" i="1"/>
  <c r="H14" i="1" a="1"/>
  <c r="H14" i="1"/>
  <c r="I14" i="1" a="1"/>
  <c r="I14" i="1"/>
  <c r="J14" i="1" a="1"/>
  <c r="J14" i="1"/>
  <c r="K14" i="1" a="1"/>
  <c r="K14" i="1"/>
  <c r="L14" i="1" a="1"/>
  <c r="L14" i="1" s="1"/>
  <c r="D13" i="1" a="1"/>
  <c r="D13" i="1" s="1"/>
  <c r="E13" i="1" a="1"/>
  <c r="E13" i="1"/>
  <c r="F13" i="1" a="1"/>
  <c r="F13" i="1"/>
  <c r="G13" i="1" a="1"/>
  <c r="G13" i="1"/>
  <c r="H13" i="1" a="1"/>
  <c r="H13" i="1"/>
  <c r="I13" i="1" a="1"/>
  <c r="I13" i="1"/>
  <c r="J13" i="1" a="1"/>
  <c r="J13" i="1"/>
  <c r="K13" i="1" a="1"/>
  <c r="K13" i="1"/>
  <c r="L13" i="1" a="1"/>
  <c r="L13" i="1" s="1"/>
  <c r="C14" i="1" a="1"/>
  <c r="C14" i="1" s="1"/>
  <c r="C13" i="1" a="1"/>
  <c r="C13" i="1" s="1"/>
  <c r="D12" i="1" a="1"/>
  <c r="D12" i="1" s="1"/>
  <c r="E12" i="1" a="1"/>
  <c r="E12" i="1"/>
  <c r="F12" i="1" a="1"/>
  <c r="F12" i="1"/>
  <c r="G12" i="1" a="1"/>
  <c r="G12" i="1"/>
  <c r="H12" i="1" a="1"/>
  <c r="H12" i="1"/>
  <c r="I12" i="1" a="1"/>
  <c r="I12" i="1"/>
  <c r="J12" i="1" a="1"/>
  <c r="J12" i="1"/>
  <c r="K12" i="1" a="1"/>
  <c r="K12" i="1"/>
  <c r="L12" i="1" a="1"/>
  <c r="L12" i="1" s="1"/>
  <c r="C12" i="1" a="1"/>
  <c r="C12" i="1" s="1"/>
  <c r="C15" i="1" a="1"/>
  <c r="C15" i="1"/>
  <c r="C11" i="1" a="1"/>
  <c r="C11" i="1" s="1"/>
  <c r="D9" i="1" a="1"/>
  <c r="D9" i="1" s="1"/>
  <c r="E9" i="1" a="1"/>
  <c r="E9" i="1"/>
  <c r="F9" i="1" a="1"/>
  <c r="F9" i="1"/>
  <c r="G9" i="1" a="1"/>
  <c r="G9" i="1" s="1"/>
  <c r="H9" i="1" a="1"/>
  <c r="H9" i="1" s="1"/>
  <c r="I9" i="1" a="1"/>
  <c r="I9" i="1"/>
  <c r="J9" i="1" a="1"/>
  <c r="J9" i="1"/>
  <c r="K9" i="1" a="1"/>
  <c r="K9" i="1"/>
  <c r="L9" i="1" a="1"/>
  <c r="L9" i="1" s="1"/>
  <c r="C9" i="1" a="1"/>
  <c r="C9" i="1" s="1"/>
  <c r="D8" i="1" a="1"/>
  <c r="D8" i="1" s="1"/>
  <c r="E8" i="1" a="1"/>
  <c r="E8" i="1"/>
  <c r="F8" i="1" a="1"/>
  <c r="F8" i="1"/>
  <c r="G8" i="1" a="1"/>
  <c r="G8" i="1"/>
  <c r="H8" i="1" a="1"/>
  <c r="H8" i="1"/>
  <c r="I8" i="1" a="1"/>
  <c r="I8" i="1"/>
  <c r="J8" i="1" a="1"/>
  <c r="J8" i="1"/>
  <c r="K8" i="1" a="1"/>
  <c r="K8" i="1"/>
  <c r="L8" i="1" a="1"/>
  <c r="L8" i="1" s="1"/>
  <c r="C8" i="1" a="1"/>
  <c r="C8" i="1" s="1"/>
  <c r="D7" i="1" a="1"/>
  <c r="D7" i="1" s="1"/>
  <c r="E7" i="1" a="1"/>
  <c r="E7" i="1" s="1"/>
  <c r="F7" i="1" a="1"/>
  <c r="F7" i="1"/>
  <c r="G7" i="1" a="1"/>
  <c r="G7" i="1"/>
  <c r="H7" i="1" a="1"/>
  <c r="H7" i="1"/>
  <c r="I7" i="1" a="1"/>
  <c r="I7" i="1"/>
  <c r="J7" i="1" a="1"/>
  <c r="J7" i="1" s="1"/>
  <c r="K7" i="1" a="1"/>
  <c r="K7" i="1"/>
  <c r="L7" i="1" a="1"/>
  <c r="L7" i="1" s="1"/>
  <c r="C7" i="1" a="1"/>
  <c r="C7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/>
  <c r="P6" i="1" a="1"/>
  <c r="P6" i="1" s="1"/>
  <c r="Q6" i="1" a="1"/>
  <c r="Q6" i="1"/>
  <c r="R6" i="1" a="1"/>
  <c r="R6" i="1" s="1"/>
  <c r="S6" i="1" a="1"/>
  <c r="S6" i="1" s="1"/>
  <c r="T6" i="1" a="1"/>
  <c r="T6" i="1"/>
  <c r="U6" i="1" a="1"/>
  <c r="U6" i="1" s="1"/>
  <c r="V6" i="1" a="1"/>
  <c r="V6" i="1" s="1"/>
  <c r="W6" i="1" a="1"/>
  <c r="W6" i="1" s="1"/>
  <c r="X6" i="1" a="1"/>
  <c r="X6" i="1"/>
  <c r="Y6" i="1" a="1"/>
  <c r="Y6" i="1" s="1"/>
  <c r="Z6" i="1" a="1"/>
  <c r="Z6" i="1" s="1"/>
  <c r="AA6" i="1" a="1"/>
  <c r="AA6" i="1"/>
  <c r="AB6" i="1" a="1"/>
  <c r="AB6" i="1" s="1"/>
  <c r="AC6" i="1" a="1"/>
  <c r="AC6" i="1" s="1"/>
  <c r="AD6" i="1" a="1"/>
  <c r="AD6" i="1"/>
  <c r="AE6" i="1" a="1"/>
  <c r="AE6" i="1" s="1"/>
  <c r="AF6" i="1" a="1"/>
  <c r="AF6" i="1" s="1"/>
  <c r="AG6" i="1" a="1"/>
  <c r="AG6" i="1"/>
  <c r="AH6" i="1" a="1"/>
  <c r="AH6" i="1" s="1"/>
  <c r="AI6" i="1" a="1"/>
  <c r="AI6" i="1" s="1"/>
  <c r="AJ6" i="1" a="1"/>
  <c r="AJ6" i="1" s="1"/>
  <c r="AK6" i="1" a="1"/>
  <c r="AK6" i="1" s="1"/>
  <c r="AL6" i="1" a="1"/>
  <c r="AL6" i="1"/>
  <c r="AM6" i="1" a="1"/>
  <c r="AM6" i="1"/>
  <c r="AN6" i="1" a="1"/>
  <c r="AN6" i="1" s="1"/>
  <c r="AO6" i="1" a="1"/>
  <c r="AO6" i="1" s="1"/>
  <c r="AP6" i="1" a="1"/>
  <c r="AP6" i="1" s="1"/>
  <c r="AQ6" i="1" a="1"/>
  <c r="AQ6" i="1"/>
  <c r="AR6" i="1" a="1"/>
  <c r="AR6" i="1"/>
  <c r="AS6" i="1" a="1"/>
  <c r="AS6" i="1" s="1"/>
  <c r="AT6" i="1" a="1"/>
  <c r="AT6" i="1" s="1"/>
  <c r="AU6" i="1" a="1"/>
  <c r="AU6" i="1" s="1"/>
  <c r="AV6" i="1" a="1"/>
  <c r="AV6" i="1"/>
  <c r="AW6" i="1" a="1"/>
  <c r="AW6" i="1"/>
  <c r="AX6" i="1" a="1"/>
  <c r="AX6" i="1" s="1"/>
  <c r="AY6" i="1" a="1"/>
  <c r="AY6" i="1"/>
  <c r="AZ6" i="1" a="1"/>
  <c r="AZ6" i="1"/>
  <c r="BA6" i="1" a="1"/>
  <c r="BA6" i="1" s="1"/>
  <c r="BB6" i="1" a="1"/>
  <c r="BB6" i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<sst xmlns="http://schemas.openxmlformats.org/spreadsheetml/2006/main" count="24" uniqueCount="19">
  <si>
    <t>Projeto</t>
  </si>
  <si>
    <t>Técnico</t>
  </si>
  <si>
    <t>Técnicos</t>
  </si>
  <si>
    <t>Projetos</t>
  </si>
  <si>
    <t>Anos de serviço</t>
  </si>
  <si>
    <t>Min</t>
  </si>
  <si>
    <t>Max</t>
  </si>
  <si>
    <t>AGRO/BIO/QUI</t>
  </si>
  <si>
    <t>Áreas temáticas</t>
  </si>
  <si>
    <t>MAT/MEC/ENER/CONST</t>
  </si>
  <si>
    <t>TIC/INST</t>
  </si>
  <si>
    <t>Tamanho</t>
  </si>
  <si>
    <t>Pesos</t>
  </si>
  <si>
    <t>Anos Serviço</t>
  </si>
  <si>
    <t>Preferências</t>
  </si>
  <si>
    <t>Tipo Projeto</t>
  </si>
  <si>
    <t xml:space="preserve">Tipo </t>
  </si>
  <si>
    <t>Pasta</t>
  </si>
  <si>
    <t xml:space="preserve"> 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</si>
</sst>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15240</xdr:rowOff>
        </xdr:from>
        <xdr:to>
          <xdr:col>16</xdr:col>
          <xdr:colOff>358140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BD59"/>
  <sheetViews>
    <sheetView tabSelected="1" workbookViewId="0">
      <selection activeCell="O14" sqref="O14"/>
    </sheetView>
  </sheetViews>
  <sheetFormatPr defaultRowHeight="14.4" x14ac:dyDescent="0.3"/>
  <sheetData>
    <row r="1" spans="1:56" x14ac:dyDescent="0.3">
      <c r="A1" s="1" t="s">
        <v>3</v>
      </c>
      <c r="C1" s="2">
        <v>9</v>
      </c>
      <c r="F1" s="1" t="s">
        <v>12</v>
      </c>
      <c r="G1" s="1" t="s">
        <v>13</v>
      </c>
      <c r="H1" s="1" t="s">
        <v>14</v>
      </c>
      <c r="I1" s="1" t="s">
        <v>15</v>
      </c>
    </row>
    <row r="2" spans="1:56" x14ac:dyDescent="0.3">
      <c r="A2" s="1" t="s">
        <v>2</v>
      </c>
      <c r="C2" s="2">
        <v>9</v>
      </c>
      <c r="F2" s="1"/>
      <c r="G2" s="2">
        <v>0.4</v>
      </c>
      <c r="H2" s="2">
        <v>0.3</v>
      </c>
      <c r="I2" s="2">
        <v>0.3</v>
      </c>
      <c r="S2" t="s">
        <v>17</v>
      </c>
    </row>
    <row r="3" spans="1:56" x14ac:dyDescent="0.3">
      <c r="S3" t="s">
        <v>18</v>
      </c>
    </row>
    <row r="4" spans="1:56" x14ac:dyDescent="0.3">
      <c r="A4" s="1"/>
      <c r="B4" s="1"/>
      <c r="C4" s="5" t="s">
        <v>0</v>
      </c>
      <c r="D4" s="5"/>
      <c r="E4" s="5"/>
      <c r="F4" s="5"/>
      <c r="G4" s="5"/>
      <c r="H4" s="5"/>
      <c r="I4" s="5"/>
      <c r="J4" s="5"/>
      <c r="K4" s="5"/>
      <c r="L4" s="5"/>
    </row>
    <row r="5" spans="1:56" x14ac:dyDescent="0.3">
      <c r="A5" s="6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</row>
    <row r="6" spans="1:56" x14ac:dyDescent="0.3">
      <c r="A6" s="6"/>
      <c r="B6" s="3">
        <v>1</v>
      </c>
      <c r="C6" s="4">
        <f>($G$2*AnosServicos!$B$2)+(Compatibilidade!$H$2*Aptidão!C6)+(Compatibilidade!$I$2*Projeto!B2)</f>
        <v>4.9000000000000004</v>
      </c>
      <c r="D6" s="4">
        <f>($G$2*AnosServicos!$B$2)+(Compatibilidade!$H$2*Aptidão!D6)+(Compatibilidade!$I$2*Projeto!C2)</f>
        <v>4.3</v>
      </c>
      <c r="E6" s="4">
        <f>($G$2*AnosServicos!$B$2)+(Compatibilidade!$H$2*Aptidão!E6)+(Compatibilidade!$I$2*Projeto!D2)</f>
        <v>4.9000000000000004</v>
      </c>
      <c r="F6" s="4">
        <f>($G$2*AnosServicos!$B$2)+(Compatibilidade!$H$2*Aptidão!F6)+(Compatibilidade!$I$2*Projeto!E2)</f>
        <v>6.1</v>
      </c>
      <c r="G6" s="4">
        <f>($G$2*AnosServicos!$B$2)+(Compatibilidade!$H$2*Aptidão!G6)+(Compatibilidade!$I$2*Projeto!F2)</f>
        <v>3.7</v>
      </c>
      <c r="H6" s="4">
        <f>($G$2*AnosServicos!$B$2)+(Compatibilidade!$H$2*Aptidão!H6)+(Compatibilidade!$I$2*Projeto!G2)</f>
        <v>4</v>
      </c>
      <c r="I6" s="4">
        <f>($G$2*AnosServicos!$B$2)+(Compatibilidade!$H$2*Aptidão!I6)+(Compatibilidade!$I$2*Projeto!H2)</f>
        <v>4.9000000000000004</v>
      </c>
      <c r="J6" s="4">
        <f>($G$2*AnosServicos!$B$2)+(Compatibilidade!$H$2*Aptidão!J6)+(Compatibilidade!$I$2*Projeto!I2)</f>
        <v>3.7</v>
      </c>
      <c r="K6" s="4">
        <f>($G$2*AnosServicos!$B$2)+(Compatibilidade!$H$2*Aptidão!K6)+(Compatibilidade!$I$2*Projeto!J2)</f>
        <v>4</v>
      </c>
      <c r="L6" s="4">
        <f>($G$2*AnosServicos!$B$2)+(Compatibilidade!$H$2*Aptidão!L6)+(Compatibilidade!$I$2*Projeto!K2)</f>
        <v>4.9000000000000004</v>
      </c>
    </row>
    <row r="7" spans="1:56" x14ac:dyDescent="0.3">
      <c r="A7" s="6"/>
      <c r="B7" s="3">
        <v>2</v>
      </c>
      <c r="C7" s="4">
        <f>($G$2*AnosServicos!$B3)+(Compatibilidade!$H$2*Aptidão!C7)+(Compatibilidade!$I$2*Projeto!B2)</f>
        <v>5.3</v>
      </c>
      <c r="D7" s="4">
        <f>($G$2*AnosServicos!$B3)+(Compatibilidade!$H$2*Aptidão!D7)+(Compatibilidade!$I$2*Projeto!C2)</f>
        <v>4.6999999999999993</v>
      </c>
      <c r="E7" s="4">
        <f>($G$2*AnosServicos!$B3)+(Compatibilidade!$H$2*Aptidão!E7)+(Compatibilidade!$I$2*Projeto!D2)</f>
        <v>5.3</v>
      </c>
      <c r="F7" s="4">
        <f>($G$2*AnosServicos!$B3)+(Compatibilidade!$H$2*Aptidão!F7)+(Compatibilidade!$I$2*Projeto!E2)</f>
        <v>6.5</v>
      </c>
      <c r="G7" s="4">
        <f>($G$2*AnosServicos!$B3)+(Compatibilidade!$H$2*Aptidão!G7)+(Compatibilidade!$I$2*Projeto!F2)</f>
        <v>4.0999999999999996</v>
      </c>
      <c r="H7" s="4">
        <f>($G$2*AnosServicos!$B3)+(Compatibilidade!$H$2*Aptidão!H7)+(Compatibilidade!$I$2*Projeto!G2)</f>
        <v>4.4000000000000004</v>
      </c>
      <c r="I7" s="4">
        <f>($G$2*AnosServicos!$B3)+(Compatibilidade!$H$2*Aptidão!I7)+(Compatibilidade!$I$2*Projeto!H2)</f>
        <v>5.3</v>
      </c>
      <c r="J7" s="4">
        <f>($G$2*AnosServicos!$B3)+(Compatibilidade!$H$2*Aptidão!J7)+(Compatibilidade!$I$2*Projeto!I2)</f>
        <v>4.0999999999999996</v>
      </c>
      <c r="K7" s="4">
        <f>($G$2*AnosServicos!$B3)+(Compatibilidade!$H$2*Aptidão!K7)+(Compatibilidade!$I$2*Projeto!J2)</f>
        <v>4.4000000000000004</v>
      </c>
      <c r="L7" s="4">
        <f>($G$2*AnosServicos!$B3)+(Compatibilidade!$H$2*Aptidão!L7)+(Compatibilidade!$I$2*Projeto!K2)</f>
        <v>5.3</v>
      </c>
    </row>
    <row r="8" spans="1:56" x14ac:dyDescent="0.3">
      <c r="A8" s="6"/>
      <c r="B8" s="3">
        <v>3</v>
      </c>
      <c r="C8" s="4">
        <f>($G$2*AnosServicos!$B4)+(Compatibilidade!$H$2*Aptidão!C8)+(Compatibilidade!$I$2*Projeto!B2)</f>
        <v>5.7</v>
      </c>
      <c r="D8" s="4">
        <f>($G$2*AnosServicos!$B4)+(Compatibilidade!$H$2*Aptidão!D8)+(Compatibilidade!$I$2*Projeto!C2)</f>
        <v>5.0999999999999996</v>
      </c>
      <c r="E8" s="4">
        <f>($G$2*AnosServicos!$B4)+(Compatibilidade!$H$2*Aptidão!E8)+(Compatibilidade!$I$2*Projeto!D2)</f>
        <v>5.7</v>
      </c>
      <c r="F8" s="4">
        <f>($G$2*AnosServicos!$B4)+(Compatibilidade!$H$2*Aptidão!F8)+(Compatibilidade!$I$2*Projeto!E2)</f>
        <v>6.9</v>
      </c>
      <c r="G8" s="4">
        <f>($G$2*AnosServicos!$B4)+(Compatibilidade!$H$2*Aptidão!G8)+(Compatibilidade!$I$2*Projeto!F2)</f>
        <v>4.5</v>
      </c>
      <c r="H8" s="4">
        <f>($G$2*AnosServicos!$B4)+(Compatibilidade!$H$2*Aptidão!H8)+(Compatibilidade!$I$2*Projeto!G2)</f>
        <v>4.8000000000000007</v>
      </c>
      <c r="I8" s="4">
        <f>($G$2*AnosServicos!$B4)+(Compatibilidade!$H$2*Aptidão!I8)+(Compatibilidade!$I$2*Projeto!H2)</f>
        <v>5.7</v>
      </c>
      <c r="J8" s="4">
        <f>($G$2*AnosServicos!$B4)+(Compatibilidade!$H$2*Aptidão!J8)+(Compatibilidade!$I$2*Projeto!I2)</f>
        <v>4.5</v>
      </c>
      <c r="K8" s="4">
        <f>($G$2*AnosServicos!$B4)+(Compatibilidade!$H$2*Aptidão!K8)+(Compatibilidade!$I$2*Projeto!J2)</f>
        <v>4.8000000000000007</v>
      </c>
      <c r="L8" s="4">
        <f>($G$2*AnosServicos!$B4)+(Compatibilidade!$H$2*Aptidão!L8)+(Compatibilidade!$I$2*Projeto!K2)</f>
        <v>5.7</v>
      </c>
    </row>
    <row r="9" spans="1:56" x14ac:dyDescent="0.3">
      <c r="A9" s="6"/>
      <c r="B9" s="3">
        <v>4</v>
      </c>
      <c r="C9" s="4">
        <f>($G$2*AnosServicos!$B5)+(Compatibilidade!$H$2*Aptidão!C9)+(Compatibilidade!$I$2*Projeto!B2)</f>
        <v>6.1</v>
      </c>
      <c r="D9" s="4">
        <f>($G$2*AnosServicos!$B5)+(Compatibilidade!$H$2*Aptidão!D9)+(Compatibilidade!$I$2*Projeto!C2)</f>
        <v>5.5</v>
      </c>
      <c r="E9" s="4">
        <f>($G$2*AnosServicos!$B5)+(Compatibilidade!$H$2*Aptidão!E9)+(Compatibilidade!$I$2*Projeto!D2)</f>
        <v>6.1</v>
      </c>
      <c r="F9" s="4">
        <f>($G$2*AnosServicos!$B5)+(Compatibilidade!$H$2*Aptidão!F9)+(Compatibilidade!$I$2*Projeto!E2)</f>
        <v>7.3000000000000007</v>
      </c>
      <c r="G9" s="4">
        <f>($G$2*AnosServicos!$B5)+(Compatibilidade!$H$2*Aptidão!G9)+(Compatibilidade!$I$2*Projeto!F2)</f>
        <v>4.9000000000000004</v>
      </c>
      <c r="H9" s="4">
        <f>($G$2*AnosServicos!$B5)+(Compatibilidade!$H$2*Aptidão!H9)+(Compatibilidade!$I$2*Projeto!G2)</f>
        <v>5.2</v>
      </c>
      <c r="I9" s="4">
        <f>($G$2*AnosServicos!$B5)+(Compatibilidade!$H$2*Aptidão!I9)+(Compatibilidade!$I$2*Projeto!H2)</f>
        <v>6.1</v>
      </c>
      <c r="J9" s="4">
        <f>($G$2*AnosServicos!$B5)+(Compatibilidade!$H$2*Aptidão!J9)+(Compatibilidade!$I$2*Projeto!I2)</f>
        <v>4.9000000000000004</v>
      </c>
      <c r="K9" s="4">
        <f>($G$2*AnosServicos!$B5)+(Compatibilidade!$H$2*Aptidão!K9)+(Compatibilidade!$I$2*Projeto!J2)</f>
        <v>5.2</v>
      </c>
      <c r="L9" s="4">
        <f>($G$2*AnosServicos!$B5)+(Compatibilidade!$H$2*Aptidão!L9)+(Compatibilidade!$I$2*Projeto!K2)</f>
        <v>6.1</v>
      </c>
    </row>
    <row r="10" spans="1:56" x14ac:dyDescent="0.3">
      <c r="A10" s="6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56" x14ac:dyDescent="0.3">
      <c r="A11" s="6"/>
      <c r="B11" s="3">
        <v>6</v>
      </c>
      <c r="C11" s="4">
        <f>($G$2*AnosServicos!$B7)+(Compatibilidade!$H$2*Aptidão!C11)+(Compatibilidade!$I$2*Projeto!$B$2)</f>
        <v>6.9</v>
      </c>
      <c r="D11" s="4">
        <f>($G$2*AnosServicos!$B7)+(Compatibilidade!$H$2*Aptidão!D11)+(Compatibilidade!$I$2*Projeto!$B$2)</f>
        <v>5.7</v>
      </c>
      <c r="E11" s="4">
        <f>($G$2*AnosServicos!$B7)+(Compatibilidade!$H$2*Aptidão!E11)+(Compatibilidade!$I$2*Projeto!$B$2)</f>
        <v>6</v>
      </c>
      <c r="F11" s="4">
        <f>($G$2*AnosServicos!$B7)+(Compatibilidade!$H$2*Aptidão!F11)+(Compatibilidade!$I$2*Projeto!$B$2)</f>
        <v>6.9</v>
      </c>
      <c r="G11" s="4">
        <f>($G$2*AnosServicos!$B7)+(Compatibilidade!$H$2*Aptidão!G11)+(Compatibilidade!$I$2*Projeto!$B$2)</f>
        <v>5.7</v>
      </c>
      <c r="H11" s="4">
        <f>($G$2*AnosServicos!$B7)+(Compatibilidade!$H$2*Aptidão!H11)+(Compatibilidade!$I$2*Projeto!$B$2)</f>
        <v>6</v>
      </c>
      <c r="I11" s="4">
        <f>($G$2*AnosServicos!$B7)+(Compatibilidade!$H$2*Aptidão!I11)+(Compatibilidade!$I$2*Projeto!$B$2)</f>
        <v>6.9</v>
      </c>
      <c r="J11" s="4">
        <f>($G$2*AnosServicos!$B7)+(Compatibilidade!$H$2*Aptidão!J11)+(Compatibilidade!$I$2*Projeto!$B$2)</f>
        <v>5.7</v>
      </c>
      <c r="K11" s="4">
        <f>($G$2*AnosServicos!$B7)+(Compatibilidade!$H$2*Aptidão!K11)+(Compatibilidade!$I$2*Projeto!$B$2)</f>
        <v>6</v>
      </c>
      <c r="L11" s="4">
        <f>($G$2*AnosServicos!$B7)+(Compatibilidade!$H$2*Aptidão!L11)+(Compatibilidade!$I$2*Projeto!$B$2)</f>
        <v>6.9</v>
      </c>
    </row>
    <row r="12" spans="1:56" x14ac:dyDescent="0.3">
      <c r="A12" s="6"/>
      <c r="B12" s="3">
        <v>7</v>
      </c>
      <c r="C12" s="4">
        <f>($G$2*AnosServicos!$B8)+(Compatibilidade!$H$2*Aptidão!C12)+(Compatibilidade!$I$2*Projeto!$B$2)</f>
        <v>7.3000000000000007</v>
      </c>
      <c r="D12" s="4">
        <f>($G$2*AnosServicos!$B8)+(Compatibilidade!$H$2*Aptidão!D12)+(Compatibilidade!$I$2*Projeto!$B$2)</f>
        <v>6.1</v>
      </c>
      <c r="E12" s="4">
        <f>($G$2*AnosServicos!$B8)+(Compatibilidade!$H$2*Aptidão!E12)+(Compatibilidade!$I$2*Projeto!$B$2)</f>
        <v>6.4</v>
      </c>
      <c r="F12" s="4">
        <f>($G$2*AnosServicos!$B8)+(Compatibilidade!$H$2*Aptidão!F12)+(Compatibilidade!$I$2*Projeto!$B$2)</f>
        <v>7.3000000000000007</v>
      </c>
      <c r="G12" s="4">
        <f>($G$2*AnosServicos!$B8)+(Compatibilidade!$H$2*Aptidão!G12)+(Compatibilidade!$I$2*Projeto!$B$2)</f>
        <v>6.1</v>
      </c>
      <c r="H12" s="4">
        <f>($G$2*AnosServicos!$B8)+(Compatibilidade!$H$2*Aptidão!H12)+(Compatibilidade!$I$2*Projeto!$B$2)</f>
        <v>6.4</v>
      </c>
      <c r="I12" s="4">
        <f>($G$2*AnosServicos!$B8)+(Compatibilidade!$H$2*Aptidão!I12)+(Compatibilidade!$I$2*Projeto!$B$2)</f>
        <v>7.3000000000000007</v>
      </c>
      <c r="J12" s="4">
        <f>($G$2*AnosServicos!$B8)+(Compatibilidade!$H$2*Aptidão!J12)+(Compatibilidade!$I$2*Projeto!$B$2)</f>
        <v>6.1</v>
      </c>
      <c r="K12" s="4">
        <f>($G$2*AnosServicos!$B8)+(Compatibilidade!$H$2*Aptidão!K12)+(Compatibilidade!$I$2*Projeto!$B$2)</f>
        <v>6.4</v>
      </c>
      <c r="L12" s="4">
        <f>($G$2*AnosServicos!$B8)+(Compatibilidade!$H$2*Aptidão!L12)+(Compatibilidade!$I$2*Projeto!$B$2)</f>
        <v>7.3000000000000007</v>
      </c>
    </row>
    <row r="13" spans="1:56" x14ac:dyDescent="0.3">
      <c r="A13" s="6"/>
      <c r="B13" s="3">
        <v>8</v>
      </c>
      <c r="C13" s="4">
        <f>($G$2*AnosServicos!$B9)+(Compatibilidade!$H$2*Aptidão!C13)+(Compatibilidade!$I$2*Projeto!$B$2)</f>
        <v>7.7</v>
      </c>
      <c r="D13" s="4">
        <f>($G$2*AnosServicos!$B9)+(Compatibilidade!$H$2*Aptidão!D13)+(Compatibilidade!$I$2*Projeto!$B$2)</f>
        <v>6.5</v>
      </c>
      <c r="E13" s="4">
        <f>($G$2*AnosServicos!$B9)+(Compatibilidade!$H$2*Aptidão!E13)+(Compatibilidade!$I$2*Projeto!$B$2)</f>
        <v>6.8000000000000007</v>
      </c>
      <c r="F13" s="4">
        <f>($G$2*AnosServicos!$B9)+(Compatibilidade!$H$2*Aptidão!F13)+(Compatibilidade!$I$2*Projeto!$B$2)</f>
        <v>7.7</v>
      </c>
      <c r="G13" s="4">
        <f>($G$2*AnosServicos!$B9)+(Compatibilidade!$H$2*Aptidão!G13)+(Compatibilidade!$I$2*Projeto!$B$2)</f>
        <v>6.5</v>
      </c>
      <c r="H13" s="4">
        <f>($G$2*AnosServicos!$B9)+(Compatibilidade!$H$2*Aptidão!H13)+(Compatibilidade!$I$2*Projeto!$B$2)</f>
        <v>6.8000000000000007</v>
      </c>
      <c r="I13" s="4">
        <f>($G$2*AnosServicos!$B9)+(Compatibilidade!$H$2*Aptidão!I13)+(Compatibilidade!$I$2*Projeto!$B$2)</f>
        <v>7.7</v>
      </c>
      <c r="J13" s="4">
        <f>($G$2*AnosServicos!$B9)+(Compatibilidade!$H$2*Aptidão!J13)+(Compatibilidade!$I$2*Projeto!$B$2)</f>
        <v>6.5</v>
      </c>
      <c r="K13" s="4">
        <f>($G$2*AnosServicos!$B9)+(Compatibilidade!$H$2*Aptidão!K13)+(Compatibilidade!$I$2*Projeto!$B$2)</f>
        <v>6.8000000000000007</v>
      </c>
      <c r="L13" s="4">
        <f>($G$2*AnosServicos!$B9)+(Compatibilidade!$H$2*Aptidão!L13)+(Compatibilidade!$I$2*Projeto!$B$2)</f>
        <v>7.7</v>
      </c>
    </row>
    <row r="14" spans="1:56" x14ac:dyDescent="0.3">
      <c r="A14" s="6"/>
      <c r="B14" s="3">
        <v>9</v>
      </c>
      <c r="C14" s="4">
        <f>($G$2*AnosServicos!$B10)+(Compatibilidade!$H$2*Aptidão!C14)+(Compatibilidade!$I$2*Projeto!$B$2)</f>
        <v>8.1</v>
      </c>
      <c r="D14" s="4">
        <f>($G$2*AnosServicos!$B10)+(Compatibilidade!$H$2*Aptidão!D14)+(Compatibilidade!$I$2*Projeto!$B$2)</f>
        <v>6.9</v>
      </c>
      <c r="E14" s="4">
        <f>($G$2*AnosServicos!$B10)+(Compatibilidade!$H$2*Aptidão!E14)+(Compatibilidade!$I$2*Projeto!$B$2)</f>
        <v>7.2</v>
      </c>
      <c r="F14" s="4">
        <f>($G$2*AnosServicos!$B10)+(Compatibilidade!$H$2*Aptidão!F14)+(Compatibilidade!$I$2*Projeto!$B$2)</f>
        <v>8.1</v>
      </c>
      <c r="G14" s="4">
        <f>($G$2*AnosServicos!$B10)+(Compatibilidade!$H$2*Aptidão!G14)+(Compatibilidade!$I$2*Projeto!$B$2)</f>
        <v>6.9</v>
      </c>
      <c r="H14" s="4">
        <f>($G$2*AnosServicos!$B10)+(Compatibilidade!$H$2*Aptidão!H14)+(Compatibilidade!$I$2*Projeto!$B$2)</f>
        <v>7.2</v>
      </c>
      <c r="I14" s="4">
        <f>($G$2*AnosServicos!$B10)+(Compatibilidade!$H$2*Aptidão!I14)+(Compatibilidade!$I$2*Projeto!$B$2)</f>
        <v>8.1</v>
      </c>
      <c r="J14" s="4">
        <f>($G$2*AnosServicos!$B10)+(Compatibilidade!$H$2*Aptidão!J14)+(Compatibilidade!$I$2*Projeto!$B$2)</f>
        <v>6.9</v>
      </c>
      <c r="K14" s="4">
        <f>($G$2*AnosServicos!$B10)+(Compatibilidade!$H$2*Aptidão!K14)+(Compatibilidade!$I$2*Projeto!$B$2)</f>
        <v>7.2</v>
      </c>
      <c r="L14" s="4">
        <f>($G$2*AnosServicos!$B10)+(Compatibilidade!$H$2*Aptidão!L14)+(Compatibilidade!$I$2*Projeto!$B$2)</f>
        <v>8.1</v>
      </c>
    </row>
    <row r="15" spans="1:56" x14ac:dyDescent="0.3">
      <c r="A15" s="6"/>
      <c r="B15" s="3">
        <v>10</v>
      </c>
      <c r="C15" s="4">
        <f>($G$2*AnosServicos!$B11)+(Compatibilidade!$H$2*Aptidão!C15)+(Compatibilidade!$I$2*Projeto!$B$2)</f>
        <v>8.5</v>
      </c>
      <c r="D15" s="4">
        <f>($G$2*AnosServicos!$B11)+(Compatibilidade!$H$2*Aptidão!D15)+(Compatibilidade!$I$2*Projeto!$B$2)</f>
        <v>7.3</v>
      </c>
      <c r="E15" s="4">
        <f>($G$2*AnosServicos!$B11)+(Compatibilidade!$H$2*Aptidão!E15)+(Compatibilidade!$I$2*Projeto!$B$2)</f>
        <v>7.6</v>
      </c>
      <c r="F15" s="4">
        <f>($G$2*AnosServicos!$B11)+(Compatibilidade!$H$2*Aptidão!F15)+(Compatibilidade!$I$2*Projeto!$B$2)</f>
        <v>8.5</v>
      </c>
      <c r="G15" s="4">
        <f>($G$2*AnosServicos!$B11)+(Compatibilidade!$H$2*Aptidão!G15)+(Compatibilidade!$I$2*Projeto!$B$2)</f>
        <v>7.3</v>
      </c>
      <c r="H15" s="4">
        <f>($G$2*AnosServicos!$B11)+(Compatibilidade!$H$2*Aptidão!H15)+(Compatibilidade!$I$2*Projeto!$B$2)</f>
        <v>7.6</v>
      </c>
      <c r="I15" s="4">
        <f>($G$2*AnosServicos!$B11)+(Compatibilidade!$H$2*Aptidão!I15)+(Compatibilidade!$I$2*Projeto!$B$2)</f>
        <v>8.5</v>
      </c>
      <c r="J15" s="4">
        <f>($G$2*AnosServicos!$B11)+(Compatibilidade!$H$2*Aptidão!J15)+(Compatibilidade!$I$2*Projeto!$B$2)</f>
        <v>7.3</v>
      </c>
      <c r="K15" s="4">
        <f>($G$2*AnosServicos!$B11)+(Compatibilidade!$H$2*Aptidão!K15)+(Compatibilidade!$I$2*Projeto!$B$2)</f>
        <v>7.6</v>
      </c>
      <c r="L15" s="4">
        <f>($G$2*AnosServicos!$B11)+(Compatibilidade!$H$2*Aptidão!L15)+(Compatibilidade!$I$2*Projeto!$B$2)</f>
        <v>8.5</v>
      </c>
    </row>
    <row r="16" spans="1:56" x14ac:dyDescent="0.3">
      <c r="B16">
        <v>11</v>
      </c>
    </row>
    <row r="17" spans="2:2" x14ac:dyDescent="0.3">
      <c r="B17">
        <v>12</v>
      </c>
    </row>
    <row r="18" spans="2:2" x14ac:dyDescent="0.3">
      <c r="B18">
        <v>13</v>
      </c>
    </row>
    <row r="19" spans="2:2" x14ac:dyDescent="0.3">
      <c r="B19">
        <v>14</v>
      </c>
    </row>
    <row r="20" spans="2:2" x14ac:dyDescent="0.3">
      <c r="B20">
        <v>15</v>
      </c>
    </row>
    <row r="21" spans="2:2" x14ac:dyDescent="0.3">
      <c r="B21">
        <v>16</v>
      </c>
    </row>
    <row r="22" spans="2:2" x14ac:dyDescent="0.3">
      <c r="B22">
        <v>17</v>
      </c>
    </row>
    <row r="23" spans="2:2" x14ac:dyDescent="0.3">
      <c r="B23">
        <v>18</v>
      </c>
    </row>
    <row r="24" spans="2:2" x14ac:dyDescent="0.3">
      <c r="B24">
        <v>19</v>
      </c>
    </row>
    <row r="25" spans="2:2" x14ac:dyDescent="0.3">
      <c r="B25">
        <v>20</v>
      </c>
    </row>
    <row r="26" spans="2:2" x14ac:dyDescent="0.3">
      <c r="B26">
        <v>21</v>
      </c>
    </row>
    <row r="27" spans="2:2" x14ac:dyDescent="0.3">
      <c r="B27">
        <v>22</v>
      </c>
    </row>
    <row r="28" spans="2:2" x14ac:dyDescent="0.3">
      <c r="B28">
        <v>23</v>
      </c>
    </row>
    <row r="29" spans="2:2" x14ac:dyDescent="0.3">
      <c r="B29">
        <v>24</v>
      </c>
    </row>
    <row r="30" spans="2:2" x14ac:dyDescent="0.3">
      <c r="B30">
        <v>25</v>
      </c>
    </row>
    <row r="31" spans="2:2" x14ac:dyDescent="0.3">
      <c r="B31">
        <v>26</v>
      </c>
    </row>
    <row r="32" spans="2:2" x14ac:dyDescent="0.3">
      <c r="B32">
        <v>27</v>
      </c>
    </row>
    <row r="33" spans="2:2" x14ac:dyDescent="0.3">
      <c r="B33">
        <v>28</v>
      </c>
    </row>
    <row r="34" spans="2:2" x14ac:dyDescent="0.3">
      <c r="B34">
        <v>29</v>
      </c>
    </row>
    <row r="35" spans="2:2" x14ac:dyDescent="0.3">
      <c r="B35">
        <v>30</v>
      </c>
    </row>
    <row r="36" spans="2:2" x14ac:dyDescent="0.3">
      <c r="B36">
        <v>31</v>
      </c>
    </row>
    <row r="37" spans="2:2" x14ac:dyDescent="0.3">
      <c r="B37">
        <v>32</v>
      </c>
    </row>
    <row r="38" spans="2:2" x14ac:dyDescent="0.3">
      <c r="B38">
        <v>33</v>
      </c>
    </row>
    <row r="39" spans="2:2" x14ac:dyDescent="0.3">
      <c r="B39">
        <v>34</v>
      </c>
    </row>
    <row r="40" spans="2:2" x14ac:dyDescent="0.3">
      <c r="B40">
        <v>35</v>
      </c>
    </row>
    <row r="41" spans="2:2" x14ac:dyDescent="0.3">
      <c r="B41">
        <v>36</v>
      </c>
    </row>
    <row r="42" spans="2:2" x14ac:dyDescent="0.3">
      <c r="B42">
        <v>37</v>
      </c>
    </row>
    <row r="43" spans="2:2" x14ac:dyDescent="0.3">
      <c r="B43">
        <v>38</v>
      </c>
    </row>
    <row r="44" spans="2:2" x14ac:dyDescent="0.3">
      <c r="B44">
        <v>39</v>
      </c>
    </row>
    <row r="45" spans="2:2" x14ac:dyDescent="0.3">
      <c r="B45">
        <v>40</v>
      </c>
    </row>
    <row r="46" spans="2:2" x14ac:dyDescent="0.3">
      <c r="B46">
        <v>41</v>
      </c>
    </row>
    <row r="47" spans="2:2" x14ac:dyDescent="0.3">
      <c r="B47">
        <v>42</v>
      </c>
    </row>
    <row r="48" spans="2:2" x14ac:dyDescent="0.3">
      <c r="B48">
        <v>43</v>
      </c>
    </row>
    <row r="49" spans="2:2" x14ac:dyDescent="0.3">
      <c r="B49">
        <v>44</v>
      </c>
    </row>
    <row r="50" spans="2:2" x14ac:dyDescent="0.3">
      <c r="B50">
        <v>45</v>
      </c>
    </row>
    <row r="51" spans="2:2" x14ac:dyDescent="0.3">
      <c r="B51">
        <v>46</v>
      </c>
    </row>
    <row r="52" spans="2:2" x14ac:dyDescent="0.3">
      <c r="B52">
        <v>47</v>
      </c>
    </row>
    <row r="53" spans="2:2" x14ac:dyDescent="0.3">
      <c r="B53">
        <v>48</v>
      </c>
    </row>
    <row r="54" spans="2:2" x14ac:dyDescent="0.3">
      <c r="B54">
        <v>49</v>
      </c>
    </row>
    <row r="55" spans="2:2" x14ac:dyDescent="0.3">
      <c r="B55">
        <v>50</v>
      </c>
    </row>
    <row r="56" spans="2:2" x14ac:dyDescent="0.3">
      <c r="B56">
        <v>51</v>
      </c>
    </row>
    <row r="57" spans="2:2" x14ac:dyDescent="0.3">
      <c r="B57">
        <v>52</v>
      </c>
    </row>
    <row r="58" spans="2:2" x14ac:dyDescent="0.3">
      <c r="B58">
        <v>53</v>
      </c>
    </row>
    <row r="59" spans="2:2" x14ac:dyDescent="0.3">
      <c r="B59">
        <v>54</v>
      </c>
    </row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15240</xdr:colOff>
                    <xdr:row>1</xdr:row>
                    <xdr:rowOff>15240</xdr:rowOff>
                  </from>
                  <to>
                    <xdr:col>16</xdr:col>
                    <xdr:colOff>358140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C59"/>
  <sheetViews>
    <sheetView workbookViewId="0">
      <selection activeCell="C6" sqref="C6"/>
    </sheetView>
  </sheetViews>
  <sheetFormatPr defaultRowHeight="14.4" x14ac:dyDescent="0.3"/>
  <sheetData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5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5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5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5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5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5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5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5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5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5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5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5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5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5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5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5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5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5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3"/>
  <sheetViews>
    <sheetView workbookViewId="0">
      <selection activeCell="F2" sqref="F2"/>
    </sheetView>
  </sheetViews>
  <sheetFormatPr defaultRowHeight="14.4" x14ac:dyDescent="0.3"/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11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16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D56"/>
  <sheetViews>
    <sheetView workbookViewId="0">
      <selection activeCell="D3" sqref="D3"/>
    </sheetView>
  </sheetViews>
  <sheetFormatPr defaultRowHeight="14.4" x14ac:dyDescent="0.3"/>
  <cols>
    <col min="2" max="2" width="14" customWidth="1"/>
    <col min="3" max="3" width="21.5546875" customWidth="1"/>
  </cols>
  <sheetData>
    <row r="1" spans="1:4" x14ac:dyDescent="0.3">
      <c r="A1" s="1"/>
      <c r="B1" s="7" t="s">
        <v>8</v>
      </c>
      <c r="C1" s="7"/>
      <c r="D1" s="7"/>
    </row>
    <row r="2" spans="1:4" x14ac:dyDescent="0.3">
      <c r="A2" s="1" t="s">
        <v>2</v>
      </c>
      <c r="B2" s="1" t="s">
        <v>7</v>
      </c>
      <c r="C2" s="1" t="s">
        <v>9</v>
      </c>
      <c r="D2" s="1" t="s">
        <v>10</v>
      </c>
    </row>
    <row r="3" spans="1:4" x14ac:dyDescent="0.3">
      <c r="A3" s="1">
        <v>1</v>
      </c>
      <c r="B3" s="2">
        <v>1</v>
      </c>
      <c r="C3" s="2">
        <v>2</v>
      </c>
      <c r="D3" s="2">
        <v>5</v>
      </c>
    </row>
    <row r="4" spans="1:4" x14ac:dyDescent="0.3">
      <c r="A4" s="1">
        <v>2</v>
      </c>
      <c r="B4" s="2">
        <v>1</v>
      </c>
      <c r="C4" s="2">
        <v>2</v>
      </c>
      <c r="D4" s="2">
        <v>5</v>
      </c>
    </row>
    <row r="5" spans="1:4" x14ac:dyDescent="0.3">
      <c r="A5" s="1">
        <v>3</v>
      </c>
      <c r="B5" s="2">
        <v>1</v>
      </c>
      <c r="C5" s="2">
        <v>2</v>
      </c>
      <c r="D5" s="2">
        <v>5</v>
      </c>
    </row>
    <row r="6" spans="1:4" x14ac:dyDescent="0.3">
      <c r="A6" s="1">
        <v>4</v>
      </c>
      <c r="B6" s="2">
        <v>1</v>
      </c>
      <c r="C6" s="2">
        <v>2</v>
      </c>
      <c r="D6" s="2">
        <v>5</v>
      </c>
    </row>
    <row r="7" spans="1:4" x14ac:dyDescent="0.3">
      <c r="A7" s="1">
        <v>5</v>
      </c>
      <c r="B7" s="2">
        <v>1</v>
      </c>
      <c r="C7" s="2">
        <v>2</v>
      </c>
      <c r="D7" s="2">
        <v>5</v>
      </c>
    </row>
    <row r="8" spans="1:4" x14ac:dyDescent="0.3">
      <c r="A8" s="1">
        <v>6</v>
      </c>
      <c r="B8" s="2">
        <v>1</v>
      </c>
      <c r="C8" s="2">
        <v>2</v>
      </c>
      <c r="D8" s="2">
        <v>5</v>
      </c>
    </row>
    <row r="9" spans="1:4" x14ac:dyDescent="0.3">
      <c r="A9" s="1">
        <v>7</v>
      </c>
      <c r="B9" s="2">
        <v>1</v>
      </c>
      <c r="C9" s="2">
        <v>2</v>
      </c>
      <c r="D9" s="2">
        <v>5</v>
      </c>
    </row>
    <row r="10" spans="1:4" x14ac:dyDescent="0.3">
      <c r="A10" s="1">
        <v>8</v>
      </c>
      <c r="B10" s="2">
        <v>1</v>
      </c>
      <c r="C10" s="2">
        <v>2</v>
      </c>
      <c r="D10" s="2">
        <v>5</v>
      </c>
    </row>
    <row r="11" spans="1:4" x14ac:dyDescent="0.3">
      <c r="A11" s="1">
        <v>9</v>
      </c>
      <c r="B11" s="2">
        <v>1</v>
      </c>
      <c r="C11" s="2">
        <v>2</v>
      </c>
      <c r="D11" s="2">
        <v>5</v>
      </c>
    </row>
    <row r="12" spans="1:4" x14ac:dyDescent="0.3">
      <c r="A12" s="1">
        <v>10</v>
      </c>
      <c r="B12" s="2">
        <v>1</v>
      </c>
      <c r="C12" s="2">
        <v>2</v>
      </c>
      <c r="D12" s="2">
        <v>5</v>
      </c>
    </row>
    <row r="13" spans="1:4" x14ac:dyDescent="0.3">
      <c r="A13" s="1">
        <v>11</v>
      </c>
      <c r="B13" s="2">
        <v>1</v>
      </c>
      <c r="C13" s="2">
        <v>2</v>
      </c>
      <c r="D13" s="2">
        <v>5</v>
      </c>
    </row>
    <row r="14" spans="1:4" x14ac:dyDescent="0.3">
      <c r="A14" s="1">
        <v>12</v>
      </c>
      <c r="B14" s="2">
        <v>1</v>
      </c>
      <c r="C14" s="2">
        <v>2</v>
      </c>
      <c r="D14" s="2">
        <v>5</v>
      </c>
    </row>
    <row r="15" spans="1:4" x14ac:dyDescent="0.3">
      <c r="A15" s="1">
        <v>13</v>
      </c>
      <c r="B15" s="2">
        <v>1</v>
      </c>
      <c r="C15" s="2">
        <v>2</v>
      </c>
      <c r="D15" s="2">
        <v>5</v>
      </c>
    </row>
    <row r="16" spans="1:4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24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E55"/>
  <sheetViews>
    <sheetView workbookViewId="0">
      <selection activeCell="B2" sqref="B2:B9"/>
    </sheetView>
  </sheetViews>
  <sheetFormatPr defaultRowHeight="14.4" x14ac:dyDescent="0.3"/>
  <cols>
    <col min="2" max="2" width="13.77734375" bestFit="1" customWidth="1"/>
  </cols>
  <sheetData>
    <row r="1" spans="1:5" x14ac:dyDescent="0.3">
      <c r="A1" s="1" t="s">
        <v>1</v>
      </c>
      <c r="B1" s="1" t="s">
        <v>4</v>
      </c>
    </row>
    <row r="2" spans="1:5" x14ac:dyDescent="0.3">
      <c r="A2" s="1">
        <v>1</v>
      </c>
      <c r="B2" s="2">
        <v>1</v>
      </c>
      <c r="D2" t="s">
        <v>5</v>
      </c>
      <c r="E2">
        <v>1</v>
      </c>
    </row>
    <row r="3" spans="1:5" x14ac:dyDescent="0.3">
      <c r="A3" s="1">
        <v>2</v>
      </c>
      <c r="B3" s="2">
        <v>2</v>
      </c>
      <c r="D3" t="s">
        <v>6</v>
      </c>
      <c r="E3">
        <v>30</v>
      </c>
    </row>
    <row r="4" spans="1:5" x14ac:dyDescent="0.3">
      <c r="A4" s="1">
        <v>3</v>
      </c>
      <c r="B4" s="2">
        <v>3</v>
      </c>
    </row>
    <row r="5" spans="1:5" x14ac:dyDescent="0.3">
      <c r="A5" s="1">
        <v>4</v>
      </c>
      <c r="B5" s="2">
        <v>4</v>
      </c>
    </row>
    <row r="6" spans="1:5" x14ac:dyDescent="0.3">
      <c r="A6" s="1">
        <v>5</v>
      </c>
      <c r="B6" s="2">
        <v>5</v>
      </c>
    </row>
    <row r="7" spans="1:5" x14ac:dyDescent="0.3">
      <c r="A7" s="1">
        <v>6</v>
      </c>
      <c r="B7" s="2">
        <v>6</v>
      </c>
    </row>
    <row r="8" spans="1:5" x14ac:dyDescent="0.3">
      <c r="A8" s="1">
        <v>7</v>
      </c>
      <c r="B8" s="2">
        <v>7</v>
      </c>
    </row>
    <row r="9" spans="1:5" x14ac:dyDescent="0.3">
      <c r="A9" s="1">
        <v>8</v>
      </c>
      <c r="B9" s="2">
        <v>8</v>
      </c>
    </row>
    <row r="10" spans="1:5" x14ac:dyDescent="0.3">
      <c r="A10" s="1">
        <v>9</v>
      </c>
      <c r="B10" s="2">
        <v>9</v>
      </c>
    </row>
    <row r="11" spans="1:5" x14ac:dyDescent="0.3">
      <c r="A11" s="1">
        <v>10</v>
      </c>
      <c r="B11" s="2">
        <v>10</v>
      </c>
    </row>
    <row r="12" spans="1:5" x14ac:dyDescent="0.3">
      <c r="A12" s="1">
        <v>11</v>
      </c>
      <c r="B12" s="2">
        <v>11</v>
      </c>
    </row>
    <row r="13" spans="1:5" x14ac:dyDescent="0.3">
      <c r="A13" s="1">
        <v>12</v>
      </c>
      <c r="B13" s="2">
        <v>12</v>
      </c>
    </row>
    <row r="14" spans="1:5" x14ac:dyDescent="0.3">
      <c r="A14" s="1">
        <v>13</v>
      </c>
      <c r="B14" s="2">
        <v>13</v>
      </c>
    </row>
    <row r="15" spans="1:5" x14ac:dyDescent="0.3">
      <c r="A15" s="1">
        <v>14</v>
      </c>
      <c r="B15" s="2">
        <v>14</v>
      </c>
    </row>
    <row r="16" spans="1:5" x14ac:dyDescent="0.3">
      <c r="A16" s="1">
        <v>15</v>
      </c>
      <c r="B16" s="2">
        <v>15</v>
      </c>
    </row>
    <row r="17" spans="1:2" x14ac:dyDescent="0.3">
      <c r="A17" s="1">
        <v>16</v>
      </c>
      <c r="B17" s="2">
        <v>16</v>
      </c>
    </row>
    <row r="18" spans="1:2" x14ac:dyDescent="0.3">
      <c r="A18" s="1">
        <v>17</v>
      </c>
      <c r="B18" s="2">
        <v>17</v>
      </c>
    </row>
    <row r="19" spans="1:2" x14ac:dyDescent="0.3">
      <c r="A19" s="1">
        <v>18</v>
      </c>
      <c r="B19" s="2">
        <v>18</v>
      </c>
    </row>
    <row r="20" spans="1:2" x14ac:dyDescent="0.3">
      <c r="A20" s="1">
        <v>19</v>
      </c>
      <c r="B20" s="2">
        <v>19</v>
      </c>
    </row>
    <row r="21" spans="1:2" x14ac:dyDescent="0.3">
      <c r="A21" s="1">
        <v>20</v>
      </c>
      <c r="B21" s="2">
        <v>20</v>
      </c>
    </row>
    <row r="22" spans="1:2" x14ac:dyDescent="0.3">
      <c r="A22" s="1">
        <v>21</v>
      </c>
      <c r="B22" s="2">
        <v>21</v>
      </c>
    </row>
    <row r="23" spans="1:2" x14ac:dyDescent="0.3">
      <c r="A23" s="1">
        <v>22</v>
      </c>
      <c r="B23" s="2">
        <v>22</v>
      </c>
    </row>
    <row r="24" spans="1:2" x14ac:dyDescent="0.3">
      <c r="A24" s="1">
        <v>23</v>
      </c>
      <c r="B24" s="2">
        <v>23</v>
      </c>
    </row>
    <row r="25" spans="1:2" x14ac:dyDescent="0.3">
      <c r="A25" s="1">
        <v>24</v>
      </c>
      <c r="B25" s="2">
        <v>24</v>
      </c>
    </row>
    <row r="26" spans="1:2" x14ac:dyDescent="0.3">
      <c r="A26" s="1">
        <v>25</v>
      </c>
      <c r="B26" s="2">
        <v>25</v>
      </c>
    </row>
    <row r="27" spans="1:2" x14ac:dyDescent="0.3">
      <c r="A27" s="1">
        <v>26</v>
      </c>
      <c r="B27" s="2">
        <v>26</v>
      </c>
    </row>
    <row r="28" spans="1:2" x14ac:dyDescent="0.3">
      <c r="A28" s="1">
        <v>27</v>
      </c>
      <c r="B28" s="2">
        <v>27</v>
      </c>
    </row>
    <row r="29" spans="1:2" x14ac:dyDescent="0.3">
      <c r="A29" s="1">
        <v>28</v>
      </c>
      <c r="B29" s="2">
        <v>28</v>
      </c>
    </row>
    <row r="30" spans="1:2" x14ac:dyDescent="0.3">
      <c r="A30" s="1">
        <v>29</v>
      </c>
      <c r="B30" s="2">
        <v>29</v>
      </c>
    </row>
    <row r="31" spans="1:2" x14ac:dyDescent="0.3">
      <c r="A31" s="1">
        <v>30</v>
      </c>
      <c r="B31" s="2">
        <v>30</v>
      </c>
    </row>
    <row r="32" spans="1:2" x14ac:dyDescent="0.3">
      <c r="A32" s="1">
        <v>31</v>
      </c>
      <c r="B32" s="2">
        <v>31</v>
      </c>
    </row>
    <row r="33" spans="1:2" x14ac:dyDescent="0.3">
      <c r="A33" s="1">
        <v>32</v>
      </c>
      <c r="B33" s="2">
        <v>32</v>
      </c>
    </row>
    <row r="34" spans="1:2" x14ac:dyDescent="0.3">
      <c r="A34" s="1">
        <v>33</v>
      </c>
      <c r="B34" s="2">
        <v>33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2023-09-22T15:31:55Z</dcterms:modified>
</cp:coreProperties>
</file>